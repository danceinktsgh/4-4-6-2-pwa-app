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參數" sheetId="2" state="visible" r:id="rId4"/>
    <sheet name="病房試算" sheetId="3" state="visible" r:id="rId5"/>
    <sheet name="開床情境" sheetId="4" state="visible" r:id="rId6"/>
    <sheet name="加護病房試算" sheetId="5" state="visible" r:id="rId7"/>
    <sheet name="來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<sst xmlns="http://schemas.openxmlformats.org/spreadsheetml/2006/main" count="120" uniqueCount="110">
  <si>
    <t xml:space="preserve">開床與護理人力試算表（討論用第一版）</t>
  </si>
  <si>
    <r>
      <rPr>
        <sz val="12"/>
        <rFont val="WenQuanYi Zen Hei"/>
        <family val="2"/>
      </rPr>
      <t xml:space="preserve">版本：</t>
    </r>
    <r>
      <rPr>
        <sz val="12"/>
        <rFont val="標楷體"/>
        <family val="0"/>
        <charset val="1"/>
      </rPr>
      <t xml:space="preserve">v0.1</t>
    </r>
    <r>
      <rPr>
        <sz val="12"/>
        <rFont val="WenQuanYi Zen Hei"/>
        <family val="2"/>
      </rPr>
      <t xml:space="preserve">｜</t>
    </r>
    <r>
      <rPr>
        <sz val="12"/>
        <rFont val="標楷體"/>
        <family val="0"/>
        <charset val="1"/>
      </rPr>
      <t xml:space="preserve">2026-10-15</t>
    </r>
    <r>
      <rPr>
        <sz val="12"/>
        <rFont val="WenQuanYi Zen Hei"/>
        <family val="2"/>
      </rPr>
      <t xml:space="preserve">｜性質：假設試算，非員額核定依據</t>
    </r>
  </si>
  <si>
    <t xml:space="preserve">一、用途</t>
  </si>
  <si>
    <r>
      <rPr>
        <sz val="12"/>
        <rFont val="標楷體"/>
        <family val="0"/>
        <charset val="1"/>
      </rPr>
      <t xml:space="preserve">1. </t>
    </r>
    <r>
      <rPr>
        <sz val="12"/>
        <rFont val="WenQuanYi Zen Hei"/>
        <family val="2"/>
      </rPr>
      <t xml:space="preserve">依法定三班護病比（醫學中心 </t>
    </r>
    <r>
      <rPr>
        <sz val="12"/>
        <rFont val="標楷體"/>
        <family val="0"/>
        <charset val="1"/>
      </rPr>
      <t xml:space="preserve">1:6</t>
    </r>
    <r>
      <rPr>
        <sz val="12"/>
        <rFont val="WenQuanYi Zen Hei"/>
        <family val="2"/>
      </rPr>
      <t xml:space="preserve">／</t>
    </r>
    <r>
      <rPr>
        <sz val="12"/>
        <rFont val="標楷體"/>
        <family val="0"/>
        <charset val="1"/>
      </rPr>
      <t xml:space="preserve">1:9</t>
    </r>
    <r>
      <rPr>
        <sz val="12"/>
        <rFont val="WenQuanYi Zen Hei"/>
        <family val="2"/>
      </rPr>
      <t xml:space="preserve">／</t>
    </r>
    <r>
      <rPr>
        <sz val="12"/>
        <rFont val="標楷體"/>
        <family val="0"/>
        <charset val="1"/>
      </rPr>
      <t xml:space="preserve">1:11</t>
    </r>
    <r>
      <rPr>
        <sz val="12"/>
        <rFont val="WenQuanYi Zen Hei"/>
        <family val="2"/>
      </rPr>
      <t xml:space="preserve">），試算各病房每班最少需要幾名護理師，以及一年需要多少 </t>
    </r>
    <r>
      <rPr>
        <sz val="12"/>
        <rFont val="標楷體"/>
        <family val="0"/>
        <charset val="1"/>
      </rPr>
      <t xml:space="preserve">FTE</t>
    </r>
    <r>
      <rPr>
        <sz val="12"/>
        <rFont val="WenQuanYi Zen Hei"/>
        <family val="2"/>
      </rPr>
      <t xml:space="preserve">。</t>
    </r>
  </si>
  <si>
    <r>
      <rPr>
        <sz val="12"/>
        <rFont val="標楷體"/>
        <family val="0"/>
        <charset val="1"/>
      </rPr>
      <t xml:space="preserve">2. </t>
    </r>
    <r>
      <rPr>
        <sz val="12"/>
        <rFont val="WenQuanYi Zen Hei"/>
        <family val="2"/>
      </rPr>
      <t xml:space="preserve">把「護理師的合理休假」直接算進 </t>
    </r>
    <r>
      <rPr>
        <sz val="12"/>
        <rFont val="標楷體"/>
        <family val="0"/>
        <charset val="1"/>
      </rPr>
      <t xml:space="preserve">FTE</t>
    </r>
    <r>
      <rPr>
        <sz val="12"/>
        <rFont val="WenQuanYi Zen Hei"/>
        <family val="2"/>
      </rPr>
      <t xml:space="preserve">：每名護理師一年實際可上班的班數，扣除國定假日、特休、病事假、公假與訓練之後才是可用人力。</t>
    </r>
  </si>
  <si>
    <r>
      <rPr>
        <sz val="12"/>
        <rFont val="標楷體"/>
        <family val="0"/>
        <charset val="1"/>
      </rPr>
      <t xml:space="preserve">3. </t>
    </r>
    <r>
      <rPr>
        <sz val="12"/>
        <rFont val="WenQuanYi Zen Hei"/>
        <family val="2"/>
      </rPr>
      <t xml:space="preserve">回答兩個問題：</t>
    </r>
    <r>
      <rPr>
        <sz val="12"/>
        <rFont val="標楷體"/>
        <family val="0"/>
        <charset val="1"/>
      </rPr>
      <t xml:space="preserve">(1) </t>
    </r>
    <r>
      <rPr>
        <sz val="12"/>
        <rFont val="WenQuanYi Zen Hei"/>
        <family val="2"/>
      </rPr>
      <t xml:space="preserve">現有人力能支撐幾床？</t>
    </r>
    <r>
      <rPr>
        <sz val="12"/>
        <rFont val="標楷體"/>
        <family val="0"/>
        <charset val="1"/>
      </rPr>
      <t xml:space="preserve">(2) </t>
    </r>
    <r>
      <rPr>
        <sz val="12"/>
        <rFont val="WenQuanYi Zen Hei"/>
        <family val="2"/>
      </rPr>
      <t xml:space="preserve">若要多開床，需要先補幾名護理師，才不會犧牲休假？</t>
    </r>
  </si>
  <si>
    <t xml:space="preserve">二、怎麼填</t>
  </si>
  <si>
    <t xml:space="preserve">・藍色字＋淡黃底的格子＝可修改的輸入值；黑色字＝公式，請勿修改。</t>
  </si>
  <si>
    <t xml:space="preserve">・灰底列＝範例資料，僅示範格式，請改為本院實際數字或刪除。</t>
  </si>
  <si>
    <t xml:space="preserve">・請先到「參數」頁確認休假天數（須由人事單位依本院人員身分別與現行法規提供），其他頁會自動更新。</t>
  </si>
  <si>
    <t xml:space="preserve">三、重要限制（面報時請一併說明）</t>
  </si>
  <si>
    <r>
      <rPr>
        <sz val="12"/>
        <rFont val="標楷體"/>
        <family val="0"/>
        <charset val="1"/>
      </rPr>
      <t xml:space="preserve">1. </t>
    </r>
    <r>
      <rPr>
        <sz val="12"/>
        <rFont val="WenQuanYi Zen Hei"/>
        <family val="2"/>
      </rPr>
      <t xml:space="preserve">本表只計算「法定下限」，沒有反映病人照護需求的輕重；同樣符合護病比的單位，實際負荷仍可能差很多（這是後續最小可行性評估要回答的問題）。</t>
    </r>
  </si>
  <si>
    <r>
      <rPr>
        <sz val="12"/>
        <rFont val="標楷體"/>
        <family val="0"/>
        <charset val="1"/>
      </rPr>
      <t xml:space="preserve">2. </t>
    </r>
    <r>
      <rPr>
        <sz val="12"/>
        <rFont val="WenQuanYi Zen Hei"/>
        <family val="2"/>
      </rPr>
      <t xml:space="preserve">每班人數採無條件進位（排班無法排 </t>
    </r>
    <r>
      <rPr>
        <sz val="12"/>
        <rFont val="標楷體"/>
        <family val="0"/>
        <charset val="1"/>
      </rPr>
      <t xml:space="preserve">0.3 </t>
    </r>
    <r>
      <rPr>
        <sz val="12"/>
        <rFont val="WenQuanYi Zen Hei"/>
        <family val="2"/>
      </rPr>
      <t xml:space="preserve">人）；法規是以全月平均計算，故本表結果略為保守。</t>
    </r>
  </si>
  <si>
    <r>
      <rPr>
        <sz val="12"/>
        <rFont val="標楷體"/>
        <family val="0"/>
        <charset val="1"/>
      </rPr>
      <t xml:space="preserve">3. </t>
    </r>
    <r>
      <rPr>
        <sz val="12"/>
        <rFont val="WenQuanYi Zen Hei"/>
        <family val="2"/>
      </rPr>
      <t xml:space="preserve">護理長、專科護理師、實習護理師不計入護病比（依設置標準修正草案，正式條文待確認）。現有人力欄位請只填可直接照護病人的護理師。</t>
    </r>
  </si>
  <si>
    <r>
      <rPr>
        <sz val="12"/>
        <rFont val="標楷體"/>
        <family val="0"/>
        <charset val="1"/>
      </rPr>
      <t xml:space="preserve">4. </t>
    </r>
    <r>
      <rPr>
        <sz val="12"/>
        <rFont val="WenQuanYi Zen Hei"/>
        <family val="2"/>
      </rPr>
      <t xml:space="preserve">加護病房的法定標準是每床至少 </t>
    </r>
    <r>
      <rPr>
        <sz val="12"/>
        <rFont val="標楷體"/>
        <family val="0"/>
        <charset val="1"/>
      </rPr>
      <t xml:space="preserve">1.5 </t>
    </r>
    <r>
      <rPr>
        <sz val="12"/>
        <rFont val="WenQuanYi Zen Hei"/>
        <family val="2"/>
      </rPr>
      <t xml:space="preserve">名護理人員（總編制，條文待逐條核對），不是每班人數；</t>
    </r>
    <r>
      <rPr>
        <sz val="12"/>
        <rFont val="標楷體"/>
        <family val="0"/>
        <charset val="1"/>
      </rPr>
      <t xml:space="preserve">ICU </t>
    </r>
    <r>
      <rPr>
        <sz val="12"/>
        <rFont val="WenQuanYi Zen Hei"/>
        <family val="2"/>
      </rPr>
      <t xml:space="preserve">頁另以院內每班護病比試算 </t>
    </r>
    <r>
      <rPr>
        <sz val="12"/>
        <rFont val="標楷體"/>
        <family val="0"/>
        <charset val="1"/>
      </rPr>
      <t xml:space="preserve">24 </t>
    </r>
    <r>
      <rPr>
        <sz val="12"/>
        <rFont val="WenQuanYi Zen Hei"/>
        <family val="2"/>
      </rPr>
      <t xml:space="preserve">小時排班需求。</t>
    </r>
  </si>
  <si>
    <r>
      <rPr>
        <sz val="12"/>
        <rFont val="標楷體"/>
        <family val="0"/>
        <charset val="1"/>
      </rPr>
      <t xml:space="preserve">5. </t>
    </r>
    <r>
      <rPr>
        <sz val="12"/>
        <rFont val="WenQuanYi Zen Hei"/>
        <family val="2"/>
      </rPr>
      <t xml:space="preserve">住床率宜採偏高情境（例如 </t>
    </r>
    <r>
      <rPr>
        <sz val="12"/>
        <rFont val="標楷體"/>
        <family val="0"/>
        <charset val="1"/>
      </rPr>
      <t xml:space="preserve">P80–P90 </t>
    </r>
    <r>
      <rPr>
        <sz val="12"/>
        <rFont val="WenQuanYi Zen Hei"/>
        <family val="2"/>
      </rPr>
      <t xml:space="preserve">的日子），用平均值訂人力，約四分之一的日子會不足（</t>
    </r>
    <r>
      <rPr>
        <sz val="12"/>
        <rFont val="標楷體"/>
        <family val="0"/>
        <charset val="1"/>
      </rPr>
      <t xml:space="preserve">Griffiths et al., 2020</t>
    </r>
    <r>
      <rPr>
        <sz val="12"/>
        <rFont val="WenQuanYi Zen Hei"/>
        <family val="2"/>
      </rPr>
      <t xml:space="preserve">）。</t>
    </r>
  </si>
  <si>
    <t xml:space="preserve">項目</t>
  </si>
  <si>
    <t xml:space="preserve">數值</t>
  </si>
  <si>
    <t xml:space="preserve">說明／來源</t>
  </si>
  <si>
    <r>
      <rPr>
        <b val="true"/>
        <sz val="12"/>
        <rFont val="標楷體"/>
        <family val="0"/>
        <charset val="1"/>
      </rPr>
      <t xml:space="preserve">A. </t>
    </r>
    <r>
      <rPr>
        <b val="true"/>
        <sz val="12"/>
        <rFont val="WenQuanYi Zen Hei"/>
        <family val="2"/>
      </rPr>
      <t xml:space="preserve">法定三班護病比（醫學中心）</t>
    </r>
  </si>
  <si>
    <t xml:space="preserve">白班：每名護理師照顧病人數上限</t>
  </si>
  <si>
    <r>
      <rPr>
        <sz val="11"/>
        <rFont val="WenQuanYi Zen Hei"/>
        <family val="2"/>
      </rPr>
      <t xml:space="preserve">衛福部 </t>
    </r>
    <r>
      <rPr>
        <sz val="11"/>
        <rFont val="標楷體"/>
        <family val="0"/>
        <charset val="1"/>
      </rPr>
      <t xml:space="preserve">113.1.26 </t>
    </r>
    <r>
      <rPr>
        <sz val="11"/>
        <rFont val="WenQuanYi Zen Hei"/>
        <family val="2"/>
      </rPr>
      <t xml:space="preserve">公告；醫療法 </t>
    </r>
    <r>
      <rPr>
        <sz val="11"/>
        <rFont val="標楷體"/>
        <family val="0"/>
        <charset val="1"/>
      </rPr>
      <t xml:space="preserve">§12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§102-1</t>
    </r>
    <r>
      <rPr>
        <sz val="11"/>
        <rFont val="WenQuanYi Zen Hei"/>
        <family val="2"/>
      </rPr>
      <t xml:space="preserve">（</t>
    </r>
    <r>
      <rPr>
        <sz val="11"/>
        <rFont val="標楷體"/>
        <family val="0"/>
        <charset val="1"/>
      </rPr>
      <t xml:space="preserve">115.5.8 </t>
    </r>
    <r>
      <rPr>
        <sz val="11"/>
        <rFont val="WenQuanYi Zen Hei"/>
        <family val="2"/>
      </rPr>
      <t xml:space="preserve">三讀）。醫學中心預計 </t>
    </r>
    <r>
      <rPr>
        <sz val="11"/>
        <rFont val="標楷體"/>
        <family val="0"/>
        <charset val="1"/>
      </rPr>
      <t xml:space="preserve">116.5.20 </t>
    </r>
    <r>
      <rPr>
        <sz val="11"/>
        <rFont val="WenQuanYi Zen Hei"/>
        <family val="2"/>
      </rPr>
      <t xml:space="preserve">起適用罰則（設置標準修正草案，正式發布待查）</t>
    </r>
  </si>
  <si>
    <t xml:space="preserve">小夜班：每名護理師照顧病人數上限</t>
  </si>
  <si>
    <t xml:space="preserve">同上</t>
  </si>
  <si>
    <t xml:space="preserve">大夜班：每名護理師照顧病人數上限</t>
  </si>
  <si>
    <r>
      <rPr>
        <b val="true"/>
        <sz val="12"/>
        <rFont val="標楷體"/>
        <family val="0"/>
        <charset val="1"/>
      </rPr>
      <t xml:space="preserve">B. </t>
    </r>
    <r>
      <rPr>
        <b val="true"/>
        <sz val="12"/>
        <rFont val="WenQuanYi Zen Hei"/>
        <family val="2"/>
      </rPr>
      <t xml:space="preserve">每名護理師一年可上班班數</t>
    </r>
  </si>
  <si>
    <t xml:space="preserve">每週上班天數</t>
  </si>
  <si>
    <r>
      <rPr>
        <sz val="11"/>
        <rFont val="WenQuanYi Zen Hei"/>
        <family val="2"/>
      </rPr>
      <t xml:space="preserve">勞基法 </t>
    </r>
    <r>
      <rPr>
        <sz val="11"/>
        <rFont val="標楷體"/>
        <family val="0"/>
        <charset val="1"/>
      </rPr>
      <t xml:space="preserve">§30 </t>
    </r>
    <r>
      <rPr>
        <sz val="11"/>
        <rFont val="WenQuanYi Zen Hei"/>
        <family val="2"/>
      </rPr>
      <t xml:space="preserve">每週 </t>
    </r>
    <r>
      <rPr>
        <sz val="11"/>
        <rFont val="標楷體"/>
        <family val="0"/>
        <charset val="1"/>
      </rPr>
      <t xml:space="preserve">40 </t>
    </r>
    <r>
      <rPr>
        <sz val="11"/>
        <rFont val="WenQuanYi Zen Hei"/>
        <family val="2"/>
      </rPr>
      <t xml:space="preserve">小時、每班 </t>
    </r>
    <r>
      <rPr>
        <sz val="11"/>
        <rFont val="標楷體"/>
        <family val="0"/>
        <charset val="1"/>
      </rPr>
      <t xml:space="preserve">8 </t>
    </r>
    <r>
      <rPr>
        <sz val="11"/>
        <rFont val="WenQuanYi Zen Hei"/>
        <family val="2"/>
      </rPr>
      <t xml:space="preserve">小時；例假與休息日已排除</t>
    </r>
  </si>
  <si>
    <t xml:space="preserve">一年週數</t>
  </si>
  <si>
    <t xml:space="preserve">國定假日天數（每人每年）</t>
  </si>
  <si>
    <r>
      <rPr>
        <sz val="11"/>
        <rFont val="WenQuanYi Zen Hei"/>
        <family val="2"/>
      </rPr>
      <t xml:space="preserve">【範例值】請人事依現行勞基法 </t>
    </r>
    <r>
      <rPr>
        <sz val="11"/>
        <rFont val="標楷體"/>
        <family val="0"/>
        <charset val="1"/>
      </rPr>
      <t xml:space="preserve">§37 </t>
    </r>
    <r>
      <rPr>
        <sz val="11"/>
        <rFont val="WenQuanYi Zen Hei"/>
        <family val="2"/>
      </rPr>
      <t xml:space="preserve">及本院人員身分別確認</t>
    </r>
  </si>
  <si>
    <t xml:space="preserve">特休平均天數（每人每年）</t>
  </si>
  <si>
    <r>
      <rPr>
        <sz val="11"/>
        <rFont val="WenQuanYi Zen Hei"/>
        <family val="2"/>
      </rPr>
      <t xml:space="preserve">【範例值】勞基法 </t>
    </r>
    <r>
      <rPr>
        <sz val="11"/>
        <rFont val="標楷體"/>
        <family val="0"/>
        <charset val="1"/>
      </rPr>
      <t xml:space="preserve">§38 </t>
    </r>
    <r>
      <rPr>
        <sz val="11"/>
        <rFont val="WenQuanYi Zen Hei"/>
        <family val="2"/>
      </rPr>
      <t xml:space="preserve">依年資 </t>
    </r>
    <r>
      <rPr>
        <sz val="11"/>
        <rFont val="標楷體"/>
        <family val="0"/>
        <charset val="1"/>
      </rPr>
      <t xml:space="preserve">3–30 </t>
    </r>
    <r>
      <rPr>
        <sz val="11"/>
        <rFont val="WenQuanYi Zen Hei"/>
        <family val="2"/>
      </rPr>
      <t xml:space="preserve">日；請以本院護理師年資分布計算平均</t>
    </r>
  </si>
  <si>
    <t xml:space="preserve">病假、事假平均天數</t>
  </si>
  <si>
    <r>
      <rPr>
        <sz val="11"/>
        <rFont val="WenQuanYi Zen Hei"/>
        <family val="2"/>
      </rPr>
      <t xml:space="preserve">【範例值】請以本院近 </t>
    </r>
    <r>
      <rPr>
        <sz val="11"/>
        <rFont val="標楷體"/>
        <family val="0"/>
        <charset val="1"/>
      </rPr>
      <t xml:space="preserve">12–24 </t>
    </r>
    <r>
      <rPr>
        <sz val="11"/>
        <rFont val="WenQuanYi Zen Hei"/>
        <family val="2"/>
      </rPr>
      <t xml:space="preserve">個月差勤資料計算</t>
    </r>
  </si>
  <si>
    <t xml:space="preserve">公假、教育訓練、會議平均天數</t>
  </si>
  <si>
    <t xml:space="preserve">【範例值】含院內外訓練、評鑑準備等離開病人照護的時間</t>
  </si>
  <si>
    <t xml:space="preserve">其他長假折算天數（產假、育嬰留停等）</t>
  </si>
  <si>
    <r>
      <rPr>
        <sz val="11"/>
        <rFont val="WenQuanYi Zen Hei"/>
        <family val="2"/>
      </rPr>
      <t xml:space="preserve">【範例值】以全單位長假總天數 </t>
    </r>
    <r>
      <rPr>
        <sz val="11"/>
        <rFont val="標楷體"/>
        <family val="0"/>
        <charset val="1"/>
      </rPr>
      <t xml:space="preserve">÷ </t>
    </r>
    <r>
      <rPr>
        <sz val="11"/>
        <rFont val="WenQuanYi Zen Hei"/>
        <family val="2"/>
      </rPr>
      <t xml:space="preserve">人數折算</t>
    </r>
  </si>
  <si>
    <t xml:space="preserve">每名護理師一年可直接照護班數</t>
  </si>
  <si>
    <r>
      <rPr>
        <sz val="11"/>
        <rFont val="WenQuanYi Zen Hei"/>
        <family val="2"/>
      </rPr>
      <t xml:space="preserve">公式：每週天數 </t>
    </r>
    <r>
      <rPr>
        <sz val="11"/>
        <rFont val="標楷體"/>
        <family val="0"/>
        <charset val="1"/>
      </rPr>
      <t xml:space="preserve">× </t>
    </r>
    <r>
      <rPr>
        <sz val="11"/>
        <rFont val="WenQuanYi Zen Hei"/>
        <family val="2"/>
      </rPr>
      <t xml:space="preserve">週數 − 各項休假</t>
    </r>
  </si>
  <si>
    <t xml:space="preserve">非生產工時比率（參考）</t>
  </si>
  <si>
    <r>
      <rPr>
        <sz val="11"/>
        <rFont val="WenQuanYi Zen Hei"/>
        <family val="2"/>
      </rPr>
      <t xml:space="preserve">可與國際比較：英國建議約 </t>
    </r>
    <r>
      <rPr>
        <sz val="11"/>
        <rFont val="標楷體"/>
        <family val="0"/>
        <charset val="1"/>
      </rPr>
      <t xml:space="preserve">22%</t>
    </r>
    <r>
      <rPr>
        <sz val="11"/>
        <rFont val="WenQuanYi Zen Hei"/>
        <family val="2"/>
      </rPr>
      <t xml:space="preserve">、實際 </t>
    </r>
    <r>
      <rPr>
        <sz val="11"/>
        <rFont val="標楷體"/>
        <family val="0"/>
        <charset val="1"/>
      </rPr>
      <t xml:space="preserve">16–34%</t>
    </r>
    <r>
      <rPr>
        <sz val="11"/>
        <rFont val="WenQuanYi Zen Hei"/>
        <family val="2"/>
      </rPr>
      <t xml:space="preserve">（</t>
    </r>
    <r>
      <rPr>
        <sz val="11"/>
        <rFont val="標楷體"/>
        <family val="0"/>
        <charset val="1"/>
      </rPr>
      <t xml:space="preserve">NQB 2018</t>
    </r>
    <r>
      <rPr>
        <sz val="11"/>
        <rFont val="WenQuanYi Zen Hei"/>
        <family val="2"/>
      </rPr>
      <t xml:space="preserve">；</t>
    </r>
    <r>
      <rPr>
        <sz val="11"/>
        <rFont val="標楷體"/>
        <family val="0"/>
        <charset val="1"/>
      </rPr>
      <t xml:space="preserve">Sheffield Hallam </t>
    </r>
    <r>
      <rPr>
        <sz val="11"/>
        <rFont val="WenQuanYi Zen Hei"/>
        <family val="2"/>
      </rPr>
      <t xml:space="preserve">研究）</t>
    </r>
  </si>
  <si>
    <r>
      <rPr>
        <b val="true"/>
        <sz val="12"/>
        <rFont val="標楷體"/>
        <family val="0"/>
        <charset val="1"/>
      </rPr>
      <t xml:space="preserve">C. </t>
    </r>
    <r>
      <rPr>
        <b val="true"/>
        <sz val="12"/>
        <rFont val="WenQuanYi Zen Hei"/>
        <family val="2"/>
      </rPr>
      <t xml:space="preserve">規劃情境</t>
    </r>
  </si>
  <si>
    <t xml:space="preserve">規劃住床率（病房預設值）</t>
  </si>
  <si>
    <r>
      <rPr>
        <sz val="11"/>
        <rFont val="WenQuanYi Zen Hei"/>
        <family val="2"/>
      </rPr>
      <t xml:space="preserve">【範例值】建議用 </t>
    </r>
    <r>
      <rPr>
        <sz val="11"/>
        <rFont val="標楷體"/>
        <family val="0"/>
        <charset val="1"/>
      </rPr>
      <t xml:space="preserve">P80–P90 </t>
    </r>
    <r>
      <rPr>
        <sz val="11"/>
        <rFont val="WenQuanYi Zen Hei"/>
        <family val="2"/>
      </rPr>
      <t xml:space="preserve">的日子，而非平均值</t>
    </r>
  </si>
  <si>
    <t xml:space="preserve">規劃住床率（加護病房預設值）</t>
  </si>
  <si>
    <t xml:space="preserve">【範例值】</t>
  </si>
  <si>
    <r>
      <rPr>
        <b val="true"/>
        <sz val="12"/>
        <rFont val="標楷體"/>
        <family val="0"/>
        <charset val="1"/>
      </rPr>
      <t xml:space="preserve">D. </t>
    </r>
    <r>
      <rPr>
        <b val="true"/>
        <sz val="12"/>
        <rFont val="WenQuanYi Zen Hei"/>
        <family val="2"/>
      </rPr>
      <t xml:space="preserve">衍生指標（自動計算）</t>
    </r>
  </si>
  <si>
    <r>
      <rPr>
        <sz val="12"/>
        <rFont val="WenQuanYi Zen Hei"/>
        <family val="2"/>
      </rPr>
      <t xml:space="preserve">病房每增開 </t>
    </r>
    <r>
      <rPr>
        <sz val="12"/>
        <rFont val="標楷體"/>
        <family val="0"/>
        <charset val="1"/>
      </rPr>
      <t xml:space="preserve">1 </t>
    </r>
    <r>
      <rPr>
        <sz val="12"/>
        <rFont val="WenQuanYi Zen Hei"/>
        <family val="2"/>
      </rPr>
      <t xml:space="preserve">床約需護理師 </t>
    </r>
    <r>
      <rPr>
        <sz val="12"/>
        <rFont val="標楷體"/>
        <family val="0"/>
        <charset val="1"/>
      </rPr>
      <t xml:space="preserve">FTE</t>
    </r>
    <r>
      <rPr>
        <sz val="12"/>
        <rFont val="WenQuanYi Zen Hei"/>
        <family val="2"/>
      </rPr>
      <t xml:space="preserve">（未取整）</t>
    </r>
  </si>
  <si>
    <r>
      <rPr>
        <sz val="11"/>
        <rFont val="WenQuanYi Zen Hei"/>
        <family val="2"/>
      </rPr>
      <t xml:space="preserve">計算方式：住床率 </t>
    </r>
    <r>
      <rPr>
        <sz val="11"/>
        <rFont val="標楷體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標楷體"/>
        <family val="0"/>
        <charset val="1"/>
      </rPr>
      <t xml:space="preserve">1/</t>
    </r>
    <r>
      <rPr>
        <sz val="11"/>
        <rFont val="WenQuanYi Zen Hei"/>
        <family val="2"/>
      </rPr>
      <t xml:space="preserve">白 </t>
    </r>
    <r>
      <rPr>
        <sz val="11"/>
        <rFont val="標楷體"/>
        <family val="0"/>
        <charset val="1"/>
      </rPr>
      <t xml:space="preserve">+ 1/</t>
    </r>
    <r>
      <rPr>
        <sz val="11"/>
        <rFont val="WenQuanYi Zen Hei"/>
        <family val="2"/>
      </rPr>
      <t xml:space="preserve">小夜 </t>
    </r>
    <r>
      <rPr>
        <sz val="11"/>
        <rFont val="標楷體"/>
        <family val="0"/>
        <charset val="1"/>
      </rPr>
      <t xml:space="preserve">+ 1/</t>
    </r>
    <r>
      <rPr>
        <sz val="11"/>
        <rFont val="WenQuanYi Zen Hei"/>
        <family val="2"/>
      </rPr>
      <t xml:space="preserve">大夜）</t>
    </r>
    <r>
      <rPr>
        <sz val="11"/>
        <rFont val="標楷體"/>
        <family val="0"/>
        <charset val="1"/>
      </rPr>
      <t xml:space="preserve">× 365 ÷ </t>
    </r>
    <r>
      <rPr>
        <sz val="11"/>
        <rFont val="WenQuanYi Zen Hei"/>
        <family val="2"/>
      </rPr>
      <t xml:space="preserve">每人可上班班數；實際排班因進位會呈階梯狀</t>
    </r>
  </si>
  <si>
    <t xml:space="preserve">單位</t>
  </si>
  <si>
    <r>
      <rPr>
        <b val="true"/>
        <sz val="12"/>
        <rFont val="WenQuanYi Zen Hei"/>
        <family val="2"/>
      </rPr>
      <t xml:space="preserve">類別
</t>
    </r>
    <r>
      <rPr>
        <b val="true"/>
        <sz val="12"/>
        <rFont val="標楷體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內</t>
    </r>
    <r>
      <rPr>
        <b val="true"/>
        <sz val="12"/>
        <rFont val="標楷體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外</t>
    </r>
    <r>
      <rPr>
        <b val="true"/>
        <sz val="12"/>
        <rFont val="標楷體"/>
        <family val="0"/>
        <charset val="1"/>
      </rPr>
      <t xml:space="preserve">)</t>
    </r>
  </si>
  <si>
    <t xml:space="preserve">開放床數</t>
  </si>
  <si>
    <t xml:space="preserve">住床率</t>
  </si>
  <si>
    <t xml:space="preserve">預估在院
人數</t>
  </si>
  <si>
    <t xml:space="preserve">白班
最少人數</t>
  </si>
  <si>
    <t xml:space="preserve">小夜
最少人數</t>
  </si>
  <si>
    <t xml:space="preserve">大夜
最少人數</t>
  </si>
  <si>
    <t xml:space="preserve">每日需求
人班</t>
  </si>
  <si>
    <t xml:space="preserve">一年需求
人班</t>
  </si>
  <si>
    <r>
      <rPr>
        <b val="true"/>
        <sz val="12"/>
        <rFont val="WenQuanYi Zen Hei"/>
        <family val="2"/>
      </rPr>
      <t xml:space="preserve">需求
</t>
    </r>
    <r>
      <rPr>
        <b val="true"/>
        <sz val="12"/>
        <rFont val="標楷體"/>
        <family val="0"/>
        <charset val="1"/>
      </rPr>
      <t xml:space="preserve">FTE</t>
    </r>
  </si>
  <si>
    <t xml:space="preserve">現有可直接
照護護理師</t>
  </si>
  <si>
    <r>
      <rPr>
        <b val="true"/>
        <sz val="12"/>
        <rFont val="WenQuanYi Zen Hei"/>
        <family val="2"/>
      </rPr>
      <t xml:space="preserve">差額
</t>
    </r>
    <r>
      <rPr>
        <b val="true"/>
        <sz val="12"/>
        <rFont val="標楷體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現有−需求</t>
    </r>
    <r>
      <rPr>
        <b val="true"/>
        <sz val="12"/>
        <rFont val="標楷體"/>
        <family val="0"/>
        <charset val="1"/>
      </rPr>
      <t xml:space="preserve">)</t>
    </r>
  </si>
  <si>
    <t xml:space="preserve">若不補人：
每人每年需
少休／加班天數</t>
  </si>
  <si>
    <r>
      <rPr>
        <b val="true"/>
        <sz val="12"/>
        <rFont val="WenQuanYi Zen Hei"/>
        <family val="2"/>
      </rPr>
      <t xml:space="preserve">每床
</t>
    </r>
    <r>
      <rPr>
        <b val="true"/>
        <sz val="12"/>
        <rFont val="標楷體"/>
        <family val="0"/>
        <charset val="1"/>
      </rPr>
      <t xml:space="preserve">FTE</t>
    </r>
  </si>
  <si>
    <t xml:space="preserve">內科甲</t>
  </si>
  <si>
    <t xml:space="preserve">內</t>
  </si>
  <si>
    <t xml:space="preserve">內科乙</t>
  </si>
  <si>
    <t xml:space="preserve">內科丙</t>
  </si>
  <si>
    <t xml:space="preserve">外科甲</t>
  </si>
  <si>
    <t xml:space="preserve">外</t>
  </si>
  <si>
    <t xml:space="preserve">外科乙</t>
  </si>
  <si>
    <t xml:space="preserve">合計</t>
  </si>
  <si>
    <r>
      <rPr>
        <sz val="11"/>
        <rFont val="WenQuanYi Zen Hei"/>
        <family val="2"/>
      </rPr>
      <t xml:space="preserve">說明：</t>
    </r>
    <r>
      <rPr>
        <sz val="11"/>
        <rFont val="標楷體"/>
        <family val="0"/>
        <charset val="1"/>
      </rPr>
      <t xml:space="preserve">D </t>
    </r>
    <r>
      <rPr>
        <sz val="11"/>
        <rFont val="WenQuanYi Zen Hei"/>
        <family val="2"/>
      </rPr>
      <t xml:space="preserve">欄預設帶入「參數」頁住床率，可直接覆寫個別單位。</t>
    </r>
    <r>
      <rPr>
        <sz val="11"/>
        <rFont val="標楷體"/>
        <family val="0"/>
        <charset val="1"/>
      </rPr>
      <t xml:space="preserve">L </t>
    </r>
    <r>
      <rPr>
        <sz val="11"/>
        <rFont val="WenQuanYi Zen Hei"/>
        <family val="2"/>
      </rPr>
      <t xml:space="preserve">欄只填可直接照護病人的護理師（不含護理長、專科護理師、未獨立新人）。灰底為範例資料。</t>
    </r>
  </si>
  <si>
    <r>
      <rPr>
        <sz val="11"/>
        <rFont val="標楷體"/>
        <family val="0"/>
        <charset val="1"/>
      </rPr>
      <t xml:space="preserve">N </t>
    </r>
    <r>
      <rPr>
        <sz val="11"/>
        <rFont val="WenQuanYi Zen Hei"/>
        <family val="2"/>
      </rPr>
      <t xml:space="preserve">欄意義：若不補人，現有護理師每人每年平均要多上幾班（等同少休幾天）才能維持法定護病比。這就是「休不到假」的數字化呈現。</t>
    </r>
  </si>
  <si>
    <t xml:space="preserve">單一病房：床數與最少護理人力對照（依參數頁的護病比、住床率與休假）</t>
  </si>
  <si>
    <r>
      <rPr>
        <sz val="11"/>
        <rFont val="WenQuanYi Zen Hei"/>
        <family val="2"/>
      </rPr>
      <t xml:space="preserve">用法：看「每多開幾床，要多幾名護理師」；</t>
    </r>
    <r>
      <rPr>
        <sz val="11"/>
        <rFont val="標楷體"/>
        <family val="0"/>
        <charset val="1"/>
      </rPr>
      <t xml:space="preserve">E </t>
    </r>
    <r>
      <rPr>
        <sz val="11"/>
        <rFont val="WenQuanYi Zen Hei"/>
        <family val="2"/>
      </rPr>
      <t xml:space="preserve">欄跳動處代表某一班需要多排 </t>
    </r>
    <r>
      <rPr>
        <sz val="11"/>
        <rFont val="標楷體"/>
        <family val="0"/>
        <charset val="1"/>
      </rPr>
      <t xml:space="preserve">1 </t>
    </r>
    <r>
      <rPr>
        <sz val="11"/>
        <rFont val="WenQuanYi Zen Hei"/>
        <family val="2"/>
      </rPr>
      <t xml:space="preserve">人。</t>
    </r>
  </si>
  <si>
    <t xml:space="preserve">預估在院人數</t>
  </si>
  <si>
    <t xml:space="preserve">白班</t>
  </si>
  <si>
    <t xml:space="preserve">小夜</t>
  </si>
  <si>
    <t xml:space="preserve">大夜</t>
  </si>
  <si>
    <t xml:space="preserve">每日人班</t>
  </si>
  <si>
    <r>
      <rPr>
        <b val="true"/>
        <sz val="12"/>
        <rFont val="WenQuanYi Zen Hei"/>
        <family val="2"/>
      </rPr>
      <t xml:space="preserve">需求</t>
    </r>
    <r>
      <rPr>
        <b val="true"/>
        <sz val="12"/>
        <rFont val="標楷體"/>
        <family val="0"/>
        <charset val="1"/>
      </rPr>
      <t xml:space="preserve">FTE</t>
    </r>
  </si>
  <si>
    <r>
      <rPr>
        <b val="true"/>
        <sz val="12"/>
        <rFont val="WenQuanYi Zen Hei"/>
        <family val="2"/>
      </rPr>
      <t xml:space="preserve">比前一列
增加</t>
    </r>
    <r>
      <rPr>
        <b val="true"/>
        <sz val="12"/>
        <rFont val="標楷體"/>
        <family val="0"/>
        <charset val="1"/>
      </rPr>
      <t xml:space="preserve">FTE</t>
    </r>
  </si>
  <si>
    <r>
      <rPr>
        <b val="true"/>
        <sz val="13"/>
        <rFont val="WenQuanYi Zen Hei"/>
        <family val="2"/>
      </rPr>
      <t xml:space="preserve">加護病房：法定下限 </t>
    </r>
    <r>
      <rPr>
        <b val="true"/>
        <sz val="13"/>
        <rFont val="標楷體"/>
        <family val="0"/>
        <charset val="1"/>
      </rPr>
      <t xml:space="preserve">vs. 24 </t>
    </r>
    <r>
      <rPr>
        <b val="true"/>
        <sz val="13"/>
        <rFont val="WenQuanYi Zen Hei"/>
        <family val="2"/>
      </rPr>
      <t xml:space="preserve">小時排班需求</t>
    </r>
  </si>
  <si>
    <r>
      <rPr>
        <sz val="11"/>
        <rFont val="WenQuanYi Zen Hei"/>
        <family val="2"/>
      </rPr>
      <t xml:space="preserve">法定：每床至少 </t>
    </r>
    <r>
      <rPr>
        <sz val="11"/>
        <rFont val="標楷體"/>
        <family val="0"/>
        <charset val="1"/>
      </rPr>
      <t xml:space="preserve">1.5 </t>
    </r>
    <r>
      <rPr>
        <sz val="11"/>
        <rFont val="WenQuanYi Zen Hei"/>
        <family val="2"/>
      </rPr>
      <t xml:space="preserve">名護理人員（總編制，條文待核）。每班護病比為院內政策或慣例（如 </t>
    </r>
    <r>
      <rPr>
        <sz val="11"/>
        <rFont val="標楷體"/>
        <family val="0"/>
        <charset val="1"/>
      </rPr>
      <t xml:space="preserve">1:2</t>
    </r>
    <r>
      <rPr>
        <sz val="11"/>
        <rFont val="WenQuanYi Zen Hei"/>
        <family val="2"/>
      </rPr>
      <t xml:space="preserve">），請依本院實況填寫。</t>
    </r>
  </si>
  <si>
    <r>
      <rPr>
        <b val="true"/>
        <sz val="12"/>
        <rFont val="WenQuanYi Zen Hei"/>
        <family val="2"/>
      </rPr>
      <t xml:space="preserve">白班
護病比
</t>
    </r>
    <r>
      <rPr>
        <b val="true"/>
        <sz val="12"/>
        <rFont val="標楷體"/>
        <family val="0"/>
        <charset val="1"/>
      </rPr>
      <t xml:space="preserve">(1:X)</t>
    </r>
  </si>
  <si>
    <r>
      <rPr>
        <b val="true"/>
        <sz val="12"/>
        <rFont val="WenQuanYi Zen Hei"/>
        <family val="2"/>
      </rPr>
      <t xml:space="preserve">小夜
護病比
</t>
    </r>
    <r>
      <rPr>
        <b val="true"/>
        <sz val="12"/>
        <rFont val="標楷體"/>
        <family val="0"/>
        <charset val="1"/>
      </rPr>
      <t xml:space="preserve">(1:X)</t>
    </r>
  </si>
  <si>
    <r>
      <rPr>
        <b val="true"/>
        <sz val="12"/>
        <rFont val="WenQuanYi Zen Hei"/>
        <family val="2"/>
      </rPr>
      <t xml:space="preserve">大夜
護病比
</t>
    </r>
    <r>
      <rPr>
        <b val="true"/>
        <sz val="12"/>
        <rFont val="標楷體"/>
        <family val="0"/>
        <charset val="1"/>
      </rPr>
      <t xml:space="preserve">(1:X)</t>
    </r>
  </si>
  <si>
    <t xml:space="preserve">白班
人數</t>
  </si>
  <si>
    <t xml:space="preserve">小夜
人數</t>
  </si>
  <si>
    <t xml:space="preserve">大夜
人數</t>
  </si>
  <si>
    <t xml:space="preserve">每日
人班</t>
  </si>
  <si>
    <r>
      <rPr>
        <b val="true"/>
        <sz val="12"/>
        <rFont val="WenQuanYi Zen Hei"/>
        <family val="2"/>
      </rPr>
      <t xml:space="preserve">排班需求
</t>
    </r>
    <r>
      <rPr>
        <b val="true"/>
        <sz val="12"/>
        <rFont val="標楷體"/>
        <family val="0"/>
        <charset val="1"/>
      </rPr>
      <t xml:space="preserve">FTE</t>
    </r>
  </si>
  <si>
    <r>
      <rPr>
        <b val="true"/>
        <sz val="12"/>
        <rFont val="WenQuanYi Zen Hei"/>
        <family val="2"/>
      </rPr>
      <t xml:space="preserve">法定最低
人數
</t>
    </r>
    <r>
      <rPr>
        <b val="true"/>
        <sz val="12"/>
        <rFont val="標楷體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床</t>
    </r>
    <r>
      <rPr>
        <b val="true"/>
        <sz val="12"/>
        <rFont val="標楷體"/>
        <family val="0"/>
        <charset val="1"/>
      </rPr>
      <t xml:space="preserve">×1.5)</t>
    </r>
  </si>
  <si>
    <r>
      <rPr>
        <b val="true"/>
        <sz val="12"/>
        <rFont val="WenQuanYi Zen Hei"/>
        <family val="2"/>
      </rPr>
      <t xml:space="preserve">差額
</t>
    </r>
    <r>
      <rPr>
        <b val="true"/>
        <sz val="12"/>
        <rFont val="標楷體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對排班需求</t>
    </r>
    <r>
      <rPr>
        <b val="true"/>
        <sz val="12"/>
        <rFont val="標楷體"/>
        <family val="0"/>
        <charset val="1"/>
      </rPr>
      <t xml:space="preserve">)</t>
    </r>
  </si>
  <si>
    <r>
      <rPr>
        <b val="true"/>
        <sz val="12"/>
        <rFont val="WenQuanYi Zen Hei"/>
        <family val="2"/>
      </rPr>
      <t xml:space="preserve">差額
</t>
    </r>
    <r>
      <rPr>
        <b val="true"/>
        <sz val="12"/>
        <rFont val="標楷體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對法定</t>
    </r>
    <r>
      <rPr>
        <b val="true"/>
        <sz val="12"/>
        <rFont val="標楷體"/>
        <family val="0"/>
        <charset val="1"/>
      </rPr>
      <t xml:space="preserve">)</t>
    </r>
  </si>
  <si>
    <t xml:space="preserve">內科加護</t>
  </si>
  <si>
    <t xml:space="preserve">外科加護</t>
  </si>
  <si>
    <r>
      <rPr>
        <sz val="11"/>
        <rFont val="WenQuanYi Zen Hei"/>
        <family val="2"/>
      </rPr>
      <t xml:space="preserve">解讀：</t>
    </r>
    <r>
      <rPr>
        <sz val="11"/>
        <rFont val="標楷體"/>
        <family val="0"/>
        <charset val="1"/>
      </rPr>
      <t xml:space="preserve">M </t>
    </r>
    <r>
      <rPr>
        <sz val="11"/>
        <rFont val="WenQuanYi Zen Hei"/>
        <family val="2"/>
      </rPr>
      <t xml:space="preserve">欄（法定）通常小於 </t>
    </r>
    <r>
      <rPr>
        <sz val="11"/>
        <rFont val="標楷體"/>
        <family val="0"/>
        <charset val="1"/>
      </rPr>
      <t xml:space="preserve">L </t>
    </r>
    <r>
      <rPr>
        <sz val="11"/>
        <rFont val="WenQuanYi Zen Hei"/>
        <family val="2"/>
      </rPr>
      <t xml:space="preserve">欄（</t>
    </r>
    <r>
      <rPr>
        <sz val="11"/>
        <rFont val="標楷體"/>
        <family val="0"/>
        <charset val="1"/>
      </rPr>
      <t xml:space="preserve">24 </t>
    </r>
    <r>
      <rPr>
        <sz val="11"/>
        <rFont val="WenQuanYi Zen Hei"/>
        <family val="2"/>
      </rPr>
      <t xml:space="preserve">小時排班需求）。代表只看「每床 </t>
    </r>
    <r>
      <rPr>
        <sz val="11"/>
        <rFont val="標楷體"/>
        <family val="0"/>
        <charset val="1"/>
      </rPr>
      <t xml:space="preserve">1.5 </t>
    </r>
    <r>
      <rPr>
        <sz val="11"/>
        <rFont val="WenQuanYi Zen Hei"/>
        <family val="2"/>
      </rPr>
      <t xml:space="preserve">人」，扣掉休假後可能排不出每班 </t>
    </r>
    <r>
      <rPr>
        <sz val="11"/>
        <rFont val="標楷體"/>
        <family val="0"/>
        <charset val="1"/>
      </rPr>
      <t xml:space="preserve">1:2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</si>
  <si>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下一步：以 </t>
    </r>
    <r>
      <rPr>
        <sz val="11"/>
        <rFont val="標楷體"/>
        <family val="0"/>
        <charset val="1"/>
      </rPr>
      <t xml:space="preserve">NAS </t>
    </r>
    <r>
      <rPr>
        <sz val="11"/>
        <rFont val="WenQuanYi Zen Hei"/>
        <family val="2"/>
      </rPr>
      <t xml:space="preserve">評估每位護理師每班實際承擔的負荷，內外科加護可用「每位護理師 </t>
    </r>
    <r>
      <rPr>
        <sz val="11"/>
        <rFont val="標楷體"/>
        <family val="0"/>
        <charset val="1"/>
      </rPr>
      <t xml:space="preserve">NAS</t>
    </r>
    <r>
      <rPr>
        <sz val="11"/>
        <rFont val="WenQuanYi Zen Hei"/>
        <family val="2"/>
      </rPr>
      <t xml:space="preserve">」互相比較。</t>
    </r>
  </si>
  <si>
    <t xml:space="preserve">來源與查核狀態</t>
  </si>
  <si>
    <r>
      <rPr>
        <sz val="11"/>
        <rFont val="WenQuanYi Zen Hei"/>
        <family val="2"/>
      </rPr>
      <t xml:space="preserve">衛福部 </t>
    </r>
    <r>
      <rPr>
        <sz val="11"/>
        <rFont val="標楷體"/>
        <family val="0"/>
        <charset val="1"/>
      </rPr>
      <t xml:space="preserve">113.1.26 </t>
    </r>
    <r>
      <rPr>
        <sz val="11"/>
        <rFont val="WenQuanYi Zen Hei"/>
        <family val="2"/>
      </rPr>
      <t xml:space="preserve">公告三班護病比標準（</t>
    </r>
    <r>
      <rPr>
        <sz val="11"/>
        <rFont val="標楷體"/>
        <family val="0"/>
        <charset val="1"/>
      </rPr>
      <t xml:space="preserve">mohw.gov.tw cp-6656-77368-1</t>
    </r>
    <r>
      <rPr>
        <sz val="11"/>
        <rFont val="WenQuanYi Zen Hei"/>
        <family val="2"/>
      </rPr>
      <t xml:space="preserve">）；醫療法 </t>
    </r>
    <r>
      <rPr>
        <sz val="11"/>
        <rFont val="標楷體"/>
        <family val="0"/>
        <charset val="1"/>
      </rPr>
      <t xml:space="preserve">§12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§102-1 </t>
    </r>
    <r>
      <rPr>
        <sz val="11"/>
        <rFont val="WenQuanYi Zen Hei"/>
        <family val="2"/>
      </rPr>
      <t xml:space="preserve">修正（</t>
    </r>
    <r>
      <rPr>
        <sz val="11"/>
        <rFont val="標楷體"/>
        <family val="0"/>
        <charset val="1"/>
      </rPr>
      <t xml:space="preserve">115.5.8 </t>
    </r>
    <r>
      <rPr>
        <sz val="11"/>
        <rFont val="WenQuanYi Zen Hei"/>
        <family val="2"/>
      </rPr>
      <t xml:space="preserve">三讀）。</t>
    </r>
  </si>
  <si>
    <r>
      <rPr>
        <sz val="11"/>
        <rFont val="WenQuanYi Zen Hei"/>
        <family val="2"/>
      </rPr>
      <t xml:space="preserve">醫療機構設置標準 </t>
    </r>
    <r>
      <rPr>
        <sz val="11"/>
        <rFont val="標楷體"/>
        <family val="0"/>
        <charset val="1"/>
      </rPr>
      <t xml:space="preserve">§12-1 </t>
    </r>
    <r>
      <rPr>
        <sz val="11"/>
        <rFont val="WenQuanYi Zen Hei"/>
        <family val="2"/>
      </rPr>
      <t xml:space="preserve">及 </t>
    </r>
    <r>
      <rPr>
        <sz val="11"/>
        <rFont val="標楷體"/>
        <family val="0"/>
        <charset val="1"/>
      </rPr>
      <t xml:space="preserve">§23 </t>
    </r>
    <r>
      <rPr>
        <sz val="11"/>
        <rFont val="WenQuanYi Zen Hei"/>
        <family val="2"/>
      </rPr>
      <t xml:space="preserve">修正草案（衛部醫字第</t>
    </r>
    <r>
      <rPr>
        <sz val="11"/>
        <rFont val="標楷體"/>
        <family val="0"/>
        <charset val="1"/>
      </rPr>
      <t xml:space="preserve">1151665340</t>
    </r>
    <r>
      <rPr>
        <sz val="11"/>
        <rFont val="WenQuanYi Zen Hei"/>
        <family val="2"/>
      </rPr>
      <t xml:space="preserve">號，</t>
    </r>
    <r>
      <rPr>
        <sz val="11"/>
        <rFont val="標楷體"/>
        <family val="0"/>
        <charset val="1"/>
      </rPr>
      <t xml:space="preserve">115.6.9 </t>
    </r>
    <r>
      <rPr>
        <sz val="11"/>
        <rFont val="WenQuanYi Zen Hei"/>
        <family val="2"/>
      </rPr>
      <t xml:space="preserve">預告；正式發布待查）。</t>
    </r>
  </si>
  <si>
    <r>
      <rPr>
        <sz val="11"/>
        <rFont val="WenQuanYi Zen Hei"/>
        <family val="2"/>
      </rPr>
      <t xml:space="preserve">醫療機構設置標準附表：加護病床每床護理人員 ≥</t>
    </r>
    <r>
      <rPr>
        <sz val="11"/>
        <rFont val="標楷體"/>
        <family val="0"/>
        <charset val="1"/>
      </rPr>
      <t xml:space="preserve">1.5 </t>
    </r>
    <r>
      <rPr>
        <sz val="11"/>
        <rFont val="WenQuanYi Zen Hei"/>
        <family val="2"/>
      </rPr>
      <t xml:space="preserve">人（行政院公報；現行條文待逐條核對）。</t>
    </r>
  </si>
  <si>
    <r>
      <rPr>
        <sz val="11"/>
        <rFont val="WenQuanYi Zen Hei"/>
        <family val="2"/>
      </rPr>
      <t xml:space="preserve">勞動基準法 </t>
    </r>
    <r>
      <rPr>
        <sz val="11"/>
        <rFont val="標楷體"/>
        <family val="0"/>
        <charset val="1"/>
      </rPr>
      <t xml:space="preserve">§30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§30-1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§32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§34</t>
    </r>
    <r>
      <rPr>
        <sz val="11"/>
        <rFont val="WenQuanYi Zen Hei"/>
        <family val="2"/>
      </rPr>
      <t xml:space="preserve">、</t>
    </r>
    <r>
      <rPr>
        <sz val="11"/>
        <rFont val="標楷體"/>
        <family val="0"/>
        <charset val="1"/>
      </rPr>
      <t xml:space="preserve">§36–§38</t>
    </r>
    <r>
      <rPr>
        <sz val="11"/>
        <rFont val="WenQuanYi Zen Hei"/>
        <family val="2"/>
      </rPr>
      <t xml:space="preserve">（勞動部；最新修正 </t>
    </r>
    <r>
      <rPr>
        <sz val="11"/>
        <rFont val="標楷體"/>
        <family val="0"/>
        <charset val="1"/>
      </rPr>
      <t xml:space="preserve">113.7.31</t>
    </r>
    <r>
      <rPr>
        <sz val="11"/>
        <rFont val="WenQuanYi Zen Hei"/>
        <family val="2"/>
      </rPr>
      <t xml:space="preserve">）。休假天數須依本院人員身分別確認。</t>
    </r>
  </si>
  <si>
    <r>
      <rPr>
        <sz val="11"/>
        <rFont val="標楷體"/>
        <family val="0"/>
        <charset val="1"/>
      </rPr>
      <t xml:space="preserve">National Quality Board (2018) </t>
    </r>
    <r>
      <rPr>
        <sz val="11"/>
        <rFont val="WenQuanYi Zen Hei"/>
        <family val="2"/>
      </rPr>
      <t xml:space="preserve">及 </t>
    </r>
    <r>
      <rPr>
        <sz val="11"/>
        <rFont val="標楷體"/>
        <family val="0"/>
        <charset val="1"/>
      </rPr>
      <t xml:space="preserve">Sheffield Hallam University 'Are Headrooms Realistic?'</t>
    </r>
    <r>
      <rPr>
        <sz val="11"/>
        <rFont val="WenQuanYi Zen Hei"/>
        <family val="2"/>
      </rPr>
      <t xml:space="preserve">：英國 </t>
    </r>
    <r>
      <rPr>
        <sz val="11"/>
        <rFont val="標楷體"/>
        <family val="0"/>
        <charset val="1"/>
      </rPr>
      <t xml:space="preserve">uplift </t>
    </r>
    <r>
      <rPr>
        <sz val="11"/>
        <rFont val="WenQuanYi Zen Hei"/>
        <family val="2"/>
      </rPr>
      <t xml:space="preserve">建議 </t>
    </r>
    <r>
      <rPr>
        <sz val="11"/>
        <rFont val="標楷體"/>
        <family val="0"/>
        <charset val="1"/>
      </rPr>
      <t xml:space="preserve">22%</t>
    </r>
    <r>
      <rPr>
        <sz val="11"/>
        <rFont val="WenQuanYi Zen Hei"/>
        <family val="2"/>
      </rPr>
      <t xml:space="preserve">，實際 </t>
    </r>
    <r>
      <rPr>
        <sz val="11"/>
        <rFont val="標楷體"/>
        <family val="0"/>
        <charset val="1"/>
      </rPr>
      <t xml:space="preserve">16–34%</t>
    </r>
    <r>
      <rPr>
        <sz val="11"/>
        <rFont val="WenQuanYi Zen Hei"/>
        <family val="2"/>
      </rPr>
      <t xml:space="preserve">。</t>
    </r>
  </si>
  <si>
    <r>
      <rPr>
        <sz val="11"/>
        <rFont val="標楷體"/>
        <family val="0"/>
        <charset val="1"/>
      </rPr>
      <t xml:space="preserve">Griffiths P, et al. Health Serv Deliv Res 2020;8(16)</t>
    </r>
    <r>
      <rPr>
        <sz val="11"/>
        <rFont val="WenQuanYi Zen Hei"/>
        <family val="2"/>
      </rPr>
      <t xml:space="preserve">：以平均值訂編制，約 </t>
    </r>
    <r>
      <rPr>
        <sz val="11"/>
        <rFont val="標楷體"/>
        <family val="0"/>
        <charset val="1"/>
      </rPr>
      <t xml:space="preserve">26% </t>
    </r>
    <r>
      <rPr>
        <sz val="11"/>
        <rFont val="WenQuanYi Zen Hei"/>
        <family val="2"/>
      </rPr>
      <t xml:space="preserve">病房日人力不足 ≥</t>
    </r>
    <r>
      <rPr>
        <sz val="11"/>
        <rFont val="標楷體"/>
        <family val="0"/>
        <charset val="1"/>
      </rPr>
      <t xml:space="preserve">15%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</si>
  <si>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註：本表所有查核僅經搜尋摘要比對，正式引用前須讀原文；詳見專案 </t>
    </r>
    <r>
      <rPr>
        <sz val="11"/>
        <rFont val="標楷體"/>
        <family val="0"/>
        <charset val="1"/>
      </rPr>
      <t xml:space="preserve">sources.md</t>
    </r>
    <r>
      <rPr>
        <sz val="11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</si>
</sst>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0.0%"/>
    <numFmt numFmtId="168" formatCode="0%"/>
    <numFmt numFmtId="169" formatCode="0.00"/>
    <numFmt numFmtId="170" formatCode="#,##0"/>
    <numFmt numFmtId="171" formatCode="0.0;[RED]\-0.0;0.0"/>
    <numFmt numFmtId="172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sz val="12"/>
      <name val="WenQuanYi Zen Hei"/>
      <family val="2"/>
    </font>
    <font>
      <sz val="12"/>
      <name val="標楷體"/>
      <family val="0"/>
      <charset val="1"/>
    </font>
    <font>
      <b val="true"/>
      <sz val="13"/>
      <name val="WenQuanYi Zen Hei"/>
      <family val="2"/>
    </font>
    <font>
      <b val="true"/>
      <sz val="12"/>
      <name val="WenQuanYi Zen Hei"/>
      <family val="2"/>
    </font>
    <font>
      <b val="true"/>
      <sz val="12"/>
      <name val="標楷體"/>
      <family val="0"/>
      <charset val="1"/>
    </font>
    <font>
      <sz val="12"/>
      <color rgb="FF0000FF"/>
      <name val="Times New Roman"/>
      <family val="0"/>
      <charset val="1"/>
    </font>
    <font>
      <sz val="11"/>
      <name val="WenQuanYi Zen Hei"/>
      <family val="2"/>
    </font>
    <font>
      <sz val="11"/>
      <name val="標楷體"/>
      <family val="0"/>
      <charset val="1"/>
    </font>
    <font>
      <sz val="12"/>
      <name val="Times New Roman"/>
      <family val="0"/>
      <charset val="1"/>
    </font>
    <font>
      <sz val="12"/>
      <color rgb="FF0000FF"/>
      <name val="WenQuanYi Zen Hei"/>
      <family val="2"/>
    </font>
    <font>
      <sz val="12"/>
      <color rgb="FF008000"/>
      <name val="Times New Roman"/>
      <family val="0"/>
      <charset val="1"/>
    </font>
    <font>
      <sz val="12"/>
      <color rgb="FF0000FF"/>
      <name val="標楷體"/>
      <family val="0"/>
      <charset val="1"/>
    </font>
    <font>
      <b val="true"/>
      <sz val="12"/>
      <name val="Times New Roman"/>
      <family val="0"/>
      <charset val="1"/>
    </font>
    <font>
      <b val="true"/>
      <sz val="13"/>
      <name val="標楷體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8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2</v>
      </c>
    </row>
    <row r="5" customFormat="false" ht="32.8" hidden="false" customHeight="false" outlineLevel="0" collapsed="false">
      <c r="A5" s="4" t="s">
        <v>3</v>
      </c>
    </row>
    <row r="6" customFormat="false" ht="32.05" hidden="false" customHeight="false" outlineLevel="0" collapsed="false">
      <c r="A6" s="4" t="s">
        <v>4</v>
      </c>
    </row>
    <row r="7" customFormat="false" ht="32.0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3" t="s">
        <v>6</v>
      </c>
    </row>
    <row r="10" customFormat="false" ht="16.4" hidden="false" customHeight="false" outlineLevel="0" collapsed="false">
      <c r="A10" s="2" t="s">
        <v>7</v>
      </c>
    </row>
    <row r="11" customFormat="false" ht="16.4" hidden="false" customHeight="false" outlineLevel="0" collapsed="false">
      <c r="A11" s="2" t="s">
        <v>8</v>
      </c>
    </row>
    <row r="12" customFormat="false" ht="31.3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32.0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32.05" hidden="false" customHeight="false" outlineLevel="0" collapsed="false">
      <c r="A17" s="4" t="s">
        <v>13</v>
      </c>
    </row>
    <row r="18" customFormat="false" ht="32.8" hidden="false" customHeight="false" outlineLevel="0" collapsed="false">
      <c r="A18" s="4" t="s">
        <v>14</v>
      </c>
    </row>
    <row r="19" customFormat="false" ht="32.8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</row>
    <row r="2" customFormat="false" ht="17.15" hidden="false" customHeight="false" outlineLevel="0" collapsed="false">
      <c r="A2" s="6" t="s">
        <v>19</v>
      </c>
      <c r="B2" s="7"/>
      <c r="C2" s="7"/>
    </row>
    <row r="3" customFormat="false" ht="29.85" hidden="false" customHeight="false" outlineLevel="0" collapsed="false">
      <c r="A3" s="8" t="s">
        <v>20</v>
      </c>
      <c r="B3" s="9" t="n">
        <v>6</v>
      </c>
      <c r="C3" s="10" t="s">
        <v>21</v>
      </c>
    </row>
    <row r="4" customFormat="false" ht="15" hidden="false" customHeight="false" outlineLevel="0" collapsed="false">
      <c r="A4" s="8" t="s">
        <v>22</v>
      </c>
      <c r="B4" s="9" t="n">
        <v>9</v>
      </c>
      <c r="C4" s="10" t="s">
        <v>23</v>
      </c>
    </row>
    <row r="5" customFormat="false" ht="15" hidden="false" customHeight="false" outlineLevel="0" collapsed="false">
      <c r="A5" s="8" t="s">
        <v>24</v>
      </c>
      <c r="B5" s="9" t="n">
        <v>11</v>
      </c>
      <c r="C5" s="10" t="s">
        <v>23</v>
      </c>
    </row>
    <row r="6" customFormat="false" ht="17.15" hidden="false" customHeight="false" outlineLevel="0" collapsed="false">
      <c r="A6" s="6" t="s">
        <v>25</v>
      </c>
      <c r="B6" s="7"/>
      <c r="C6" s="7"/>
    </row>
    <row r="7" customFormat="false" ht="15" hidden="false" customHeight="false" outlineLevel="0" collapsed="false">
      <c r="A7" s="8" t="s">
        <v>26</v>
      </c>
      <c r="B7" s="9" t="n">
        <v>5</v>
      </c>
      <c r="C7" s="10" t="s">
        <v>27</v>
      </c>
    </row>
    <row r="8" customFormat="false" ht="15" hidden="false" customHeight="false" outlineLevel="0" collapsed="false">
      <c r="A8" s="8" t="s">
        <v>28</v>
      </c>
      <c r="B8" s="9" t="n">
        <v>52</v>
      </c>
      <c r="C8" s="10"/>
    </row>
    <row r="9" customFormat="false" ht="15" hidden="false" customHeight="false" outlineLevel="0" collapsed="false">
      <c r="A9" s="8" t="s">
        <v>29</v>
      </c>
      <c r="B9" s="9" t="n">
        <v>12</v>
      </c>
      <c r="C9" s="10" t="s">
        <v>30</v>
      </c>
    </row>
    <row r="10" customFormat="false" ht="15" hidden="false" customHeight="false" outlineLevel="0" collapsed="false">
      <c r="A10" s="8" t="s">
        <v>31</v>
      </c>
      <c r="B10" s="11" t="n">
        <v>14</v>
      </c>
      <c r="C10" s="10" t="s">
        <v>32</v>
      </c>
    </row>
    <row r="11" customFormat="false" ht="15" hidden="false" customHeight="false" outlineLevel="0" collapsed="false">
      <c r="A11" s="8" t="s">
        <v>33</v>
      </c>
      <c r="B11" s="11" t="n">
        <v>5</v>
      </c>
      <c r="C11" s="10" t="s">
        <v>34</v>
      </c>
    </row>
    <row r="12" customFormat="false" ht="15" hidden="false" customHeight="false" outlineLevel="0" collapsed="false">
      <c r="A12" s="8" t="s">
        <v>35</v>
      </c>
      <c r="B12" s="11" t="n">
        <v>5</v>
      </c>
      <c r="C12" s="10" t="s">
        <v>36</v>
      </c>
    </row>
    <row r="13" customFormat="false" ht="15" hidden="false" customHeight="false" outlineLevel="0" collapsed="false">
      <c r="A13" s="8" t="s">
        <v>37</v>
      </c>
      <c r="B13" s="11" t="n">
        <v>4</v>
      </c>
      <c r="C13" s="10" t="s">
        <v>38</v>
      </c>
    </row>
    <row r="14" customFormat="false" ht="15" hidden="false" customHeight="false" outlineLevel="0" collapsed="false">
      <c r="A14" s="8" t="s">
        <v>39</v>
      </c>
      <c r="B14" s="12" t="n">
        <f aca="false">B7*B8-B9-B10-B11-B12-B13</f>
        <v>220</v>
      </c>
      <c r="C14" s="10" t="s">
        <v>40</v>
      </c>
    </row>
    <row r="15" customFormat="false" ht="29.85" hidden="false" customHeight="false" outlineLevel="0" collapsed="false">
      <c r="A15" s="8" t="s">
        <v>41</v>
      </c>
      <c r="B15" s="13" t="n">
        <f aca="false">1-B14/(B7*B8)</f>
        <v>0.153846153846154</v>
      </c>
      <c r="C15" s="10" t="s">
        <v>42</v>
      </c>
    </row>
    <row r="16" customFormat="false" ht="17.15" hidden="false" customHeight="false" outlineLevel="0" collapsed="false">
      <c r="A16" s="6" t="s">
        <v>43</v>
      </c>
      <c r="B16" s="7"/>
      <c r="C16" s="7"/>
    </row>
    <row r="17" customFormat="false" ht="15" hidden="false" customHeight="false" outlineLevel="0" collapsed="false">
      <c r="A17" s="8" t="s">
        <v>44</v>
      </c>
      <c r="B17" s="14" t="n">
        <v>0.9</v>
      </c>
      <c r="C17" s="10" t="s">
        <v>45</v>
      </c>
    </row>
    <row r="18" customFormat="false" ht="15" hidden="false" customHeight="false" outlineLevel="0" collapsed="false">
      <c r="A18" s="8" t="s">
        <v>46</v>
      </c>
      <c r="B18" s="14" t="n">
        <v>0.9</v>
      </c>
      <c r="C18" s="10" t="s">
        <v>47</v>
      </c>
    </row>
    <row r="19" customFormat="false" ht="17.15" hidden="false" customHeight="false" outlineLevel="0" collapsed="false">
      <c r="A19" s="6" t="s">
        <v>48</v>
      </c>
      <c r="B19" s="7"/>
      <c r="C19" s="7"/>
    </row>
    <row r="20" customFormat="false" ht="29.1" hidden="false" customHeight="false" outlineLevel="0" collapsed="false">
      <c r="A20" s="8" t="s">
        <v>49</v>
      </c>
      <c r="B20" s="15" t="n">
        <f aca="false">B17*(1/B3+1/B4+1/B5)*365/B14</f>
        <v>0.55051652892562</v>
      </c>
      <c r="C20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9" min="5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8"/>
  </cols>
  <sheetData>
    <row r="1" customFormat="false" ht="60" hidden="false" customHeight="true" outlineLevel="0" collapsed="false">
      <c r="A1" s="16" t="s">
        <v>51</v>
      </c>
      <c r="B1" s="16" t="s">
        <v>52</v>
      </c>
      <c r="C1" s="16" t="s">
        <v>53</v>
      </c>
      <c r="D1" s="16" t="s">
        <v>54</v>
      </c>
      <c r="E1" s="16" t="s">
        <v>55</v>
      </c>
      <c r="F1" s="16" t="s">
        <v>56</v>
      </c>
      <c r="G1" s="16" t="s">
        <v>57</v>
      </c>
      <c r="H1" s="16" t="s">
        <v>58</v>
      </c>
      <c r="I1" s="16" t="s">
        <v>59</v>
      </c>
      <c r="J1" s="16" t="s">
        <v>60</v>
      </c>
      <c r="K1" s="16" t="s">
        <v>61</v>
      </c>
      <c r="L1" s="16" t="s">
        <v>62</v>
      </c>
      <c r="M1" s="16" t="s">
        <v>63</v>
      </c>
      <c r="N1" s="16" t="s">
        <v>64</v>
      </c>
      <c r="O1" s="16" t="s">
        <v>65</v>
      </c>
    </row>
    <row r="2" customFormat="false" ht="15" hidden="false" customHeight="false" outlineLevel="0" collapsed="false">
      <c r="A2" s="17" t="s">
        <v>66</v>
      </c>
      <c r="B2" s="18" t="s">
        <v>67</v>
      </c>
      <c r="C2" s="19" t="n">
        <v>40</v>
      </c>
      <c r="D2" s="20" t="n">
        <f aca="false">IF(C2="","",參數!$B$17)</f>
        <v>0.9</v>
      </c>
      <c r="E2" s="21" t="n">
        <f aca="false">IF(C2="","",C2*D2)</f>
        <v>36</v>
      </c>
      <c r="F2" s="22" t="n">
        <f aca="false">IF(C2="","",ROUNDUP(E2/參數!$B$3,0))</f>
        <v>6</v>
      </c>
      <c r="G2" s="22" t="n">
        <f aca="false">IF(C2="","",ROUNDUP(E2/參數!$B$4,0))</f>
        <v>4</v>
      </c>
      <c r="H2" s="22" t="n">
        <f aca="false">IF(C2="","",ROUNDUP(E2/參數!$B$5,0))</f>
        <v>4</v>
      </c>
      <c r="I2" s="22" t="n">
        <f aca="false">IF(C2="","",F2+G2+H2)</f>
        <v>14</v>
      </c>
      <c r="J2" s="23" t="n">
        <f aca="false">IF(C2="","",I2*365)</f>
        <v>5110</v>
      </c>
      <c r="K2" s="21" t="n">
        <f aca="false">IF(C2="","",J2/參數!$B$14)</f>
        <v>23.2272727272727</v>
      </c>
      <c r="L2" s="19" t="n">
        <v>24</v>
      </c>
      <c r="M2" s="24" t="n">
        <f aca="false">IF(OR(C2="",L2=""),"",L2-K2)</f>
        <v>0.772727272727273</v>
      </c>
      <c r="N2" s="21" t="n">
        <f aca="false">IF(OR(C2="",L2="",L2=0),"",MAX(0,(J2-L2*參數!$B$14)/L2))</f>
        <v>0</v>
      </c>
      <c r="O2" s="25" t="n">
        <f aca="false">IF(C2="","",K2/C2)</f>
        <v>0.580681818181818</v>
      </c>
    </row>
    <row r="3" customFormat="false" ht="15" hidden="false" customHeight="false" outlineLevel="0" collapsed="false">
      <c r="A3" s="17" t="s">
        <v>68</v>
      </c>
      <c r="B3" s="18" t="s">
        <v>67</v>
      </c>
      <c r="C3" s="19" t="n">
        <v>40</v>
      </c>
      <c r="D3" s="20" t="n">
        <f aca="false">IF(C3="","",參數!$B$17)</f>
        <v>0.9</v>
      </c>
      <c r="E3" s="21" t="n">
        <f aca="false">IF(C3="","",C3*D3)</f>
        <v>36</v>
      </c>
      <c r="F3" s="22" t="n">
        <f aca="false">IF(C3="","",ROUNDUP(E3/參數!$B$3,0))</f>
        <v>6</v>
      </c>
      <c r="G3" s="22" t="n">
        <f aca="false">IF(C3="","",ROUNDUP(E3/參數!$B$4,0))</f>
        <v>4</v>
      </c>
      <c r="H3" s="22" t="n">
        <f aca="false">IF(C3="","",ROUNDUP(E3/參數!$B$5,0))</f>
        <v>4</v>
      </c>
      <c r="I3" s="22" t="n">
        <f aca="false">IF(C3="","",F3+G3+H3)</f>
        <v>14</v>
      </c>
      <c r="J3" s="23" t="n">
        <f aca="false">IF(C3="","",I3*365)</f>
        <v>5110</v>
      </c>
      <c r="K3" s="21" t="n">
        <f aca="false">IF(C3="","",J3/參數!$B$14)</f>
        <v>23.2272727272727</v>
      </c>
      <c r="L3" s="19" t="n">
        <v>21</v>
      </c>
      <c r="M3" s="24" t="n">
        <f aca="false">IF(OR(C3="",L3=""),"",L3-K3)</f>
        <v>-2.22727272727273</v>
      </c>
      <c r="N3" s="21" t="n">
        <f aca="false">IF(OR(C3="",L3="",L3=0),"",MAX(0,(J3-L3*參數!$B$14)/L3))</f>
        <v>23.3333333333333</v>
      </c>
      <c r="O3" s="25" t="n">
        <f aca="false">IF(C3="","",K3/C3)</f>
        <v>0.580681818181818</v>
      </c>
    </row>
    <row r="4" customFormat="false" ht="15" hidden="false" customHeight="false" outlineLevel="0" collapsed="false">
      <c r="A4" s="17" t="s">
        <v>69</v>
      </c>
      <c r="B4" s="18" t="s">
        <v>67</v>
      </c>
      <c r="C4" s="19" t="n">
        <v>36</v>
      </c>
      <c r="D4" s="20" t="n">
        <f aca="false">IF(C4="","",參數!$B$17)</f>
        <v>0.9</v>
      </c>
      <c r="E4" s="21" t="n">
        <f aca="false">IF(C4="","",C4*D4)</f>
        <v>32.4</v>
      </c>
      <c r="F4" s="22" t="n">
        <f aca="false">IF(C4="","",ROUNDUP(E4/參數!$B$3,0))</f>
        <v>6</v>
      </c>
      <c r="G4" s="22" t="n">
        <f aca="false">IF(C4="","",ROUNDUP(E4/參數!$B$4,0))</f>
        <v>4</v>
      </c>
      <c r="H4" s="22" t="n">
        <f aca="false">IF(C4="","",ROUNDUP(E4/參數!$B$5,0))</f>
        <v>3</v>
      </c>
      <c r="I4" s="22" t="n">
        <f aca="false">IF(C4="","",F4+G4+H4)</f>
        <v>13</v>
      </c>
      <c r="J4" s="23" t="n">
        <f aca="false">IF(C4="","",I4*365)</f>
        <v>4745</v>
      </c>
      <c r="K4" s="21" t="n">
        <f aca="false">IF(C4="","",J4/參數!$B$14)</f>
        <v>21.5681818181818</v>
      </c>
      <c r="L4" s="19" t="n">
        <v>20</v>
      </c>
      <c r="M4" s="24" t="n">
        <f aca="false">IF(OR(C4="",L4=""),"",L4-K4)</f>
        <v>-1.56818181818182</v>
      </c>
      <c r="N4" s="21" t="n">
        <f aca="false">IF(OR(C4="",L4="",L4=0),"",MAX(0,(J4-L4*參數!$B$14)/L4))</f>
        <v>17.25</v>
      </c>
      <c r="O4" s="25" t="n">
        <f aca="false">IF(C4="","",K4/C4)</f>
        <v>0.599116161616162</v>
      </c>
    </row>
    <row r="5" customFormat="false" ht="15" hidden="false" customHeight="false" outlineLevel="0" collapsed="false">
      <c r="A5" s="17" t="s">
        <v>70</v>
      </c>
      <c r="B5" s="18" t="s">
        <v>71</v>
      </c>
      <c r="C5" s="19" t="n">
        <v>45</v>
      </c>
      <c r="D5" s="20" t="n">
        <f aca="false">IF(C5="","",參數!$B$17)</f>
        <v>0.9</v>
      </c>
      <c r="E5" s="21" t="n">
        <f aca="false">IF(C5="","",C5*D5)</f>
        <v>40.5</v>
      </c>
      <c r="F5" s="22" t="n">
        <f aca="false">IF(C5="","",ROUNDUP(E5/參數!$B$3,0))</f>
        <v>7</v>
      </c>
      <c r="G5" s="22" t="n">
        <f aca="false">IF(C5="","",ROUNDUP(E5/參數!$B$4,0))</f>
        <v>5</v>
      </c>
      <c r="H5" s="22" t="n">
        <f aca="false">IF(C5="","",ROUNDUP(E5/參數!$B$5,0))</f>
        <v>4</v>
      </c>
      <c r="I5" s="22" t="n">
        <f aca="false">IF(C5="","",F5+G5+H5)</f>
        <v>16</v>
      </c>
      <c r="J5" s="23" t="n">
        <f aca="false">IF(C5="","",I5*365)</f>
        <v>5840</v>
      </c>
      <c r="K5" s="21" t="n">
        <f aca="false">IF(C5="","",J5/參數!$B$14)</f>
        <v>26.5454545454545</v>
      </c>
      <c r="L5" s="19" t="n">
        <v>25</v>
      </c>
      <c r="M5" s="24" t="n">
        <f aca="false">IF(OR(C5="",L5=""),"",L5-K5)</f>
        <v>-1.54545454545455</v>
      </c>
      <c r="N5" s="21" t="n">
        <f aca="false">IF(OR(C5="",L5="",L5=0),"",MAX(0,(J5-L5*參數!$B$14)/L5))</f>
        <v>13.6</v>
      </c>
      <c r="O5" s="25" t="n">
        <f aca="false">IF(C5="","",K5/C5)</f>
        <v>0.58989898989899</v>
      </c>
    </row>
    <row r="6" customFormat="false" ht="15" hidden="false" customHeight="false" outlineLevel="0" collapsed="false">
      <c r="A6" s="17" t="s">
        <v>72</v>
      </c>
      <c r="B6" s="18" t="s">
        <v>71</v>
      </c>
      <c r="C6" s="19" t="n">
        <v>38</v>
      </c>
      <c r="D6" s="20" t="n">
        <f aca="false">IF(C6="","",參數!$B$17)</f>
        <v>0.9</v>
      </c>
      <c r="E6" s="21" t="n">
        <f aca="false">IF(C6="","",C6*D6)</f>
        <v>34.2</v>
      </c>
      <c r="F6" s="22" t="n">
        <f aca="false">IF(C6="","",ROUNDUP(E6/參數!$B$3,0))</f>
        <v>6</v>
      </c>
      <c r="G6" s="22" t="n">
        <f aca="false">IF(C6="","",ROUNDUP(E6/參數!$B$4,0))</f>
        <v>4</v>
      </c>
      <c r="H6" s="22" t="n">
        <f aca="false">IF(C6="","",ROUNDUP(E6/參數!$B$5,0))</f>
        <v>4</v>
      </c>
      <c r="I6" s="22" t="n">
        <f aca="false">IF(C6="","",F6+G6+H6)</f>
        <v>14</v>
      </c>
      <c r="J6" s="23" t="n">
        <f aca="false">IF(C6="","",I6*365)</f>
        <v>5110</v>
      </c>
      <c r="K6" s="21" t="n">
        <f aca="false">IF(C6="","",J6/參數!$B$14)</f>
        <v>23.2272727272727</v>
      </c>
      <c r="L6" s="19" t="n">
        <v>20</v>
      </c>
      <c r="M6" s="24" t="n">
        <f aca="false">IF(OR(C6="",L6=""),"",L6-K6)</f>
        <v>-3.22727272727273</v>
      </c>
      <c r="N6" s="21" t="n">
        <f aca="false">IF(OR(C6="",L6="",L6=0),"",MAX(0,(J6-L6*參數!$B$14)/L6))</f>
        <v>35.5</v>
      </c>
      <c r="O6" s="25" t="n">
        <f aca="false">IF(C6="","",K6/C6)</f>
        <v>0.611244019138756</v>
      </c>
    </row>
    <row r="7" customFormat="false" ht="15" hidden="false" customHeight="false" outlineLevel="0" collapsed="false">
      <c r="A7" s="26"/>
      <c r="B7" s="27"/>
      <c r="C7" s="28"/>
      <c r="D7" s="20" t="str">
        <f aca="false">IF(C7="","",參數!$B$17)</f>
        <v/>
      </c>
      <c r="E7" s="21" t="str">
        <f aca="false">IF(C7="","",C7*D7)</f>
        <v/>
      </c>
      <c r="F7" s="22" t="str">
        <f aca="false">IF(C7="","",ROUNDUP(E7/參數!$B$3,0))</f>
        <v/>
      </c>
      <c r="G7" s="22" t="str">
        <f aca="false">IF(C7="","",ROUNDUP(E7/參數!$B$4,0))</f>
        <v/>
      </c>
      <c r="H7" s="22" t="str">
        <f aca="false">IF(C7="","",ROUNDUP(E7/參數!$B$5,0))</f>
        <v/>
      </c>
      <c r="I7" s="22" t="str">
        <f aca="false">IF(C7="","",F7+G7+H7)</f>
        <v/>
      </c>
      <c r="J7" s="23" t="str">
        <f aca="false">IF(C7="","",I7*365)</f>
        <v/>
      </c>
      <c r="K7" s="21" t="str">
        <f aca="false">IF(C7="","",J7/參數!$B$14)</f>
        <v/>
      </c>
      <c r="L7" s="28"/>
      <c r="M7" s="24" t="str">
        <f aca="false">IF(OR(C7="",L7=""),"",L7-K7)</f>
        <v/>
      </c>
      <c r="N7" s="21" t="str">
        <f aca="false">IF(OR(C7="",L7="",L7=0),"",MAX(0,(J7-L7*參數!$B$14)/L7))</f>
        <v/>
      </c>
      <c r="O7" s="25" t="str">
        <f aca="false">IF(C7="","",K7/C7)</f>
        <v/>
      </c>
    </row>
    <row r="8" customFormat="false" ht="15" hidden="false" customHeight="false" outlineLevel="0" collapsed="false">
      <c r="A8" s="26"/>
      <c r="B8" s="27"/>
      <c r="C8" s="28"/>
      <c r="D8" s="20" t="str">
        <f aca="false">IF(C8="","",參數!$B$17)</f>
        <v/>
      </c>
      <c r="E8" s="21" t="str">
        <f aca="false">IF(C8="","",C8*D8)</f>
        <v/>
      </c>
      <c r="F8" s="22" t="str">
        <f aca="false">IF(C8="","",ROUNDUP(E8/參數!$B$3,0))</f>
        <v/>
      </c>
      <c r="G8" s="22" t="str">
        <f aca="false">IF(C8="","",ROUNDUP(E8/參數!$B$4,0))</f>
        <v/>
      </c>
      <c r="H8" s="22" t="str">
        <f aca="false">IF(C8="","",ROUNDUP(E8/參數!$B$5,0))</f>
        <v/>
      </c>
      <c r="I8" s="22" t="str">
        <f aca="false">IF(C8="","",F8+G8+H8)</f>
        <v/>
      </c>
      <c r="J8" s="23" t="str">
        <f aca="false">IF(C8="","",I8*365)</f>
        <v/>
      </c>
      <c r="K8" s="21" t="str">
        <f aca="false">IF(C8="","",J8/參數!$B$14)</f>
        <v/>
      </c>
      <c r="L8" s="28"/>
      <c r="M8" s="24" t="str">
        <f aca="false">IF(OR(C8="",L8=""),"",L8-K8)</f>
        <v/>
      </c>
      <c r="N8" s="21" t="str">
        <f aca="false">IF(OR(C8="",L8="",L8=0),"",MAX(0,(J8-L8*參數!$B$14)/L8))</f>
        <v/>
      </c>
      <c r="O8" s="25" t="str">
        <f aca="false">IF(C8="","",K8/C8)</f>
        <v/>
      </c>
    </row>
    <row r="9" customFormat="false" ht="15" hidden="false" customHeight="false" outlineLevel="0" collapsed="false">
      <c r="A9" s="26"/>
      <c r="B9" s="27"/>
      <c r="C9" s="28"/>
      <c r="D9" s="20" t="str">
        <f aca="false">IF(C9="","",參數!$B$17)</f>
        <v/>
      </c>
      <c r="E9" s="21" t="str">
        <f aca="false">IF(C9="","",C9*D9)</f>
        <v/>
      </c>
      <c r="F9" s="22" t="str">
        <f aca="false">IF(C9="","",ROUNDUP(E9/參數!$B$3,0))</f>
        <v/>
      </c>
      <c r="G9" s="22" t="str">
        <f aca="false">IF(C9="","",ROUNDUP(E9/參數!$B$4,0))</f>
        <v/>
      </c>
      <c r="H9" s="22" t="str">
        <f aca="false">IF(C9="","",ROUNDUP(E9/參數!$B$5,0))</f>
        <v/>
      </c>
      <c r="I9" s="22" t="str">
        <f aca="false">IF(C9="","",F9+G9+H9)</f>
        <v/>
      </c>
      <c r="J9" s="23" t="str">
        <f aca="false">IF(C9="","",I9*365)</f>
        <v/>
      </c>
      <c r="K9" s="21" t="str">
        <f aca="false">IF(C9="","",J9/參數!$B$14)</f>
        <v/>
      </c>
      <c r="L9" s="28"/>
      <c r="M9" s="24" t="str">
        <f aca="false">IF(OR(C9="",L9=""),"",L9-K9)</f>
        <v/>
      </c>
      <c r="N9" s="21" t="str">
        <f aca="false">IF(OR(C9="",L9="",L9=0),"",MAX(0,(J9-L9*參數!$B$14)/L9))</f>
        <v/>
      </c>
      <c r="O9" s="25" t="str">
        <f aca="false">IF(C9="","",K9/C9)</f>
        <v/>
      </c>
    </row>
    <row r="10" customFormat="false" ht="15" hidden="false" customHeight="false" outlineLevel="0" collapsed="false">
      <c r="A10" s="26"/>
      <c r="B10" s="27"/>
      <c r="C10" s="28"/>
      <c r="D10" s="20" t="str">
        <f aca="false">IF(C10="","",參數!$B$17)</f>
        <v/>
      </c>
      <c r="E10" s="21" t="str">
        <f aca="false">IF(C10="","",C10*D10)</f>
        <v/>
      </c>
      <c r="F10" s="22" t="str">
        <f aca="false">IF(C10="","",ROUNDUP(E10/參數!$B$3,0))</f>
        <v/>
      </c>
      <c r="G10" s="22" t="str">
        <f aca="false">IF(C10="","",ROUNDUP(E10/參數!$B$4,0))</f>
        <v/>
      </c>
      <c r="H10" s="22" t="str">
        <f aca="false">IF(C10="","",ROUNDUP(E10/參數!$B$5,0))</f>
        <v/>
      </c>
      <c r="I10" s="22" t="str">
        <f aca="false">IF(C10="","",F10+G10+H10)</f>
        <v/>
      </c>
      <c r="J10" s="23" t="str">
        <f aca="false">IF(C10="","",I10*365)</f>
        <v/>
      </c>
      <c r="K10" s="21" t="str">
        <f aca="false">IF(C10="","",J10/參數!$B$14)</f>
        <v/>
      </c>
      <c r="L10" s="28"/>
      <c r="M10" s="24" t="str">
        <f aca="false">IF(OR(C10="",L10=""),"",L10-K10)</f>
        <v/>
      </c>
      <c r="N10" s="21" t="str">
        <f aca="false">IF(OR(C10="",L10="",L10=0),"",MAX(0,(J10-L10*參數!$B$14)/L10))</f>
        <v/>
      </c>
      <c r="O10" s="25" t="str">
        <f aca="false">IF(C10="","",K10/C10)</f>
        <v/>
      </c>
    </row>
    <row r="11" customFormat="false" ht="15" hidden="false" customHeight="false" outlineLevel="0" collapsed="false">
      <c r="A11" s="26"/>
      <c r="B11" s="27"/>
      <c r="C11" s="28"/>
      <c r="D11" s="20" t="str">
        <f aca="false">IF(C11="","",參數!$B$17)</f>
        <v/>
      </c>
      <c r="E11" s="21" t="str">
        <f aca="false">IF(C11="","",C11*D11)</f>
        <v/>
      </c>
      <c r="F11" s="22" t="str">
        <f aca="false">IF(C11="","",ROUNDUP(E11/參數!$B$3,0))</f>
        <v/>
      </c>
      <c r="G11" s="22" t="str">
        <f aca="false">IF(C11="","",ROUNDUP(E11/參數!$B$4,0))</f>
        <v/>
      </c>
      <c r="H11" s="22" t="str">
        <f aca="false">IF(C11="","",ROUNDUP(E11/參數!$B$5,0))</f>
        <v/>
      </c>
      <c r="I11" s="22" t="str">
        <f aca="false">IF(C11="","",F11+G11+H11)</f>
        <v/>
      </c>
      <c r="J11" s="23" t="str">
        <f aca="false">IF(C11="","",I11*365)</f>
        <v/>
      </c>
      <c r="K11" s="21" t="str">
        <f aca="false">IF(C11="","",J11/參數!$B$14)</f>
        <v/>
      </c>
      <c r="L11" s="28"/>
      <c r="M11" s="24" t="str">
        <f aca="false">IF(OR(C11="",L11=""),"",L11-K11)</f>
        <v/>
      </c>
      <c r="N11" s="21" t="str">
        <f aca="false">IF(OR(C11="",L11="",L11=0),"",MAX(0,(J11-L11*參數!$B$14)/L11))</f>
        <v/>
      </c>
      <c r="O11" s="25" t="str">
        <f aca="false">IF(C11="","",K11/C11)</f>
        <v/>
      </c>
    </row>
    <row r="12" customFormat="false" ht="15" hidden="false" customHeight="false" outlineLevel="0" collapsed="false">
      <c r="A12" s="26"/>
      <c r="B12" s="27"/>
      <c r="C12" s="28"/>
      <c r="D12" s="20" t="str">
        <f aca="false">IF(C12="","",參數!$B$17)</f>
        <v/>
      </c>
      <c r="E12" s="21" t="str">
        <f aca="false">IF(C12="","",C12*D12)</f>
        <v/>
      </c>
      <c r="F12" s="22" t="str">
        <f aca="false">IF(C12="","",ROUNDUP(E12/參數!$B$3,0))</f>
        <v/>
      </c>
      <c r="G12" s="22" t="str">
        <f aca="false">IF(C12="","",ROUNDUP(E12/參數!$B$4,0))</f>
        <v/>
      </c>
      <c r="H12" s="22" t="str">
        <f aca="false">IF(C12="","",ROUNDUP(E12/參數!$B$5,0))</f>
        <v/>
      </c>
      <c r="I12" s="22" t="str">
        <f aca="false">IF(C12="","",F12+G12+H12)</f>
        <v/>
      </c>
      <c r="J12" s="23" t="str">
        <f aca="false">IF(C12="","",I12*365)</f>
        <v/>
      </c>
      <c r="K12" s="21" t="str">
        <f aca="false">IF(C12="","",J12/參數!$B$14)</f>
        <v/>
      </c>
      <c r="L12" s="28"/>
      <c r="M12" s="24" t="str">
        <f aca="false">IF(OR(C12="",L12=""),"",L12-K12)</f>
        <v/>
      </c>
      <c r="N12" s="21" t="str">
        <f aca="false">IF(OR(C12="",L12="",L12=0),"",MAX(0,(J12-L12*參數!$B$14)/L12))</f>
        <v/>
      </c>
      <c r="O12" s="25" t="str">
        <f aca="false">IF(C12="","",K12/C12)</f>
        <v/>
      </c>
    </row>
    <row r="13" customFormat="false" ht="15" hidden="false" customHeight="false" outlineLevel="0" collapsed="false">
      <c r="A13" s="26"/>
      <c r="B13" s="27"/>
      <c r="C13" s="28"/>
      <c r="D13" s="20" t="str">
        <f aca="false">IF(C13="","",參數!$B$17)</f>
        <v/>
      </c>
      <c r="E13" s="21" t="str">
        <f aca="false">IF(C13="","",C13*D13)</f>
        <v/>
      </c>
      <c r="F13" s="22" t="str">
        <f aca="false">IF(C13="","",ROUNDUP(E13/參數!$B$3,0))</f>
        <v/>
      </c>
      <c r="G13" s="22" t="str">
        <f aca="false">IF(C13="","",ROUNDUP(E13/參數!$B$4,0))</f>
        <v/>
      </c>
      <c r="H13" s="22" t="str">
        <f aca="false">IF(C13="","",ROUNDUP(E13/參數!$B$5,0))</f>
        <v/>
      </c>
      <c r="I13" s="22" t="str">
        <f aca="false">IF(C13="","",F13+G13+H13)</f>
        <v/>
      </c>
      <c r="J13" s="23" t="str">
        <f aca="false">IF(C13="","",I13*365)</f>
        <v/>
      </c>
      <c r="K13" s="21" t="str">
        <f aca="false">IF(C13="","",J13/參數!$B$14)</f>
        <v/>
      </c>
      <c r="L13" s="28"/>
      <c r="M13" s="24" t="str">
        <f aca="false">IF(OR(C13="",L13=""),"",L13-K13)</f>
        <v/>
      </c>
      <c r="N13" s="21" t="str">
        <f aca="false">IF(OR(C13="",L13="",L13=0),"",MAX(0,(J13-L13*參數!$B$14)/L13))</f>
        <v/>
      </c>
      <c r="O13" s="25" t="str">
        <f aca="false">IF(C13="","",K13/C13)</f>
        <v/>
      </c>
    </row>
    <row r="14" customFormat="false" ht="15" hidden="false" customHeight="false" outlineLevel="0" collapsed="false">
      <c r="A14" s="26"/>
      <c r="B14" s="27"/>
      <c r="C14" s="28"/>
      <c r="D14" s="20" t="str">
        <f aca="false">IF(C14="","",參數!$B$17)</f>
        <v/>
      </c>
      <c r="E14" s="21" t="str">
        <f aca="false">IF(C14="","",C14*D14)</f>
        <v/>
      </c>
      <c r="F14" s="22" t="str">
        <f aca="false">IF(C14="","",ROUNDUP(E14/參數!$B$3,0))</f>
        <v/>
      </c>
      <c r="G14" s="22" t="str">
        <f aca="false">IF(C14="","",ROUNDUP(E14/參數!$B$4,0))</f>
        <v/>
      </c>
      <c r="H14" s="22" t="str">
        <f aca="false">IF(C14="","",ROUNDUP(E14/參數!$B$5,0))</f>
        <v/>
      </c>
      <c r="I14" s="22" t="str">
        <f aca="false">IF(C14="","",F14+G14+H14)</f>
        <v/>
      </c>
      <c r="J14" s="23" t="str">
        <f aca="false">IF(C14="","",I14*365)</f>
        <v/>
      </c>
      <c r="K14" s="21" t="str">
        <f aca="false">IF(C14="","",J14/參數!$B$14)</f>
        <v/>
      </c>
      <c r="L14" s="28"/>
      <c r="M14" s="24" t="str">
        <f aca="false">IF(OR(C14="",L14=""),"",L14-K14)</f>
        <v/>
      </c>
      <c r="N14" s="21" t="str">
        <f aca="false">IF(OR(C14="",L14="",L14=0),"",MAX(0,(J14-L14*參數!$B$14)/L14))</f>
        <v/>
      </c>
      <c r="O14" s="25" t="str">
        <f aca="false">IF(C14="","",K14/C14)</f>
        <v/>
      </c>
    </row>
    <row r="15" customFormat="false" ht="15" hidden="false" customHeight="false" outlineLevel="0" collapsed="false">
      <c r="A15" s="26"/>
      <c r="B15" s="27"/>
      <c r="C15" s="28"/>
      <c r="D15" s="20" t="str">
        <f aca="false">IF(C15="","",參數!$B$17)</f>
        <v/>
      </c>
      <c r="E15" s="21" t="str">
        <f aca="false">IF(C15="","",C15*D15)</f>
        <v/>
      </c>
      <c r="F15" s="22" t="str">
        <f aca="false">IF(C15="","",ROUNDUP(E15/參數!$B$3,0))</f>
        <v/>
      </c>
      <c r="G15" s="22" t="str">
        <f aca="false">IF(C15="","",ROUNDUP(E15/參數!$B$4,0))</f>
        <v/>
      </c>
      <c r="H15" s="22" t="str">
        <f aca="false">IF(C15="","",ROUNDUP(E15/參數!$B$5,0))</f>
        <v/>
      </c>
      <c r="I15" s="22" t="str">
        <f aca="false">IF(C15="","",F15+G15+H15)</f>
        <v/>
      </c>
      <c r="J15" s="23" t="str">
        <f aca="false">IF(C15="","",I15*365)</f>
        <v/>
      </c>
      <c r="K15" s="21" t="str">
        <f aca="false">IF(C15="","",J15/參數!$B$14)</f>
        <v/>
      </c>
      <c r="L15" s="28"/>
      <c r="M15" s="24" t="str">
        <f aca="false">IF(OR(C15="",L15=""),"",L15-K15)</f>
        <v/>
      </c>
      <c r="N15" s="21" t="str">
        <f aca="false">IF(OR(C15="",L15="",L15=0),"",MAX(0,(J15-L15*參數!$B$14)/L15))</f>
        <v/>
      </c>
      <c r="O15" s="25" t="str">
        <f aca="false">IF(C15="","",K15/C15)</f>
        <v/>
      </c>
    </row>
    <row r="16" customFormat="false" ht="15" hidden="false" customHeight="false" outlineLevel="0" collapsed="false">
      <c r="A16" s="26"/>
      <c r="B16" s="27"/>
      <c r="C16" s="28"/>
      <c r="D16" s="20" t="str">
        <f aca="false">IF(C16="","",參數!$B$17)</f>
        <v/>
      </c>
      <c r="E16" s="21" t="str">
        <f aca="false">IF(C16="","",C16*D16)</f>
        <v/>
      </c>
      <c r="F16" s="22" t="str">
        <f aca="false">IF(C16="","",ROUNDUP(E16/參數!$B$3,0))</f>
        <v/>
      </c>
      <c r="G16" s="22" t="str">
        <f aca="false">IF(C16="","",ROUNDUP(E16/參數!$B$4,0))</f>
        <v/>
      </c>
      <c r="H16" s="22" t="str">
        <f aca="false">IF(C16="","",ROUNDUP(E16/參數!$B$5,0))</f>
        <v/>
      </c>
      <c r="I16" s="22" t="str">
        <f aca="false">IF(C16="","",F16+G16+H16)</f>
        <v/>
      </c>
      <c r="J16" s="23" t="str">
        <f aca="false">IF(C16="","",I16*365)</f>
        <v/>
      </c>
      <c r="K16" s="21" t="str">
        <f aca="false">IF(C16="","",J16/參數!$B$14)</f>
        <v/>
      </c>
      <c r="L16" s="28"/>
      <c r="M16" s="24" t="str">
        <f aca="false">IF(OR(C16="",L16=""),"",L16-K16)</f>
        <v/>
      </c>
      <c r="N16" s="21" t="str">
        <f aca="false">IF(OR(C16="",L16="",L16=0),"",MAX(0,(J16-L16*參數!$B$14)/L16))</f>
        <v/>
      </c>
      <c r="O16" s="25" t="str">
        <f aca="false">IF(C16="","",K16/C16)</f>
        <v/>
      </c>
    </row>
    <row r="17" customFormat="false" ht="15" hidden="false" customHeight="false" outlineLevel="0" collapsed="false">
      <c r="A17" s="26"/>
      <c r="B17" s="27"/>
      <c r="C17" s="28"/>
      <c r="D17" s="20" t="str">
        <f aca="false">IF(C17="","",參數!$B$17)</f>
        <v/>
      </c>
      <c r="E17" s="21" t="str">
        <f aca="false">IF(C17="","",C17*D17)</f>
        <v/>
      </c>
      <c r="F17" s="22" t="str">
        <f aca="false">IF(C17="","",ROUNDUP(E17/參數!$B$3,0))</f>
        <v/>
      </c>
      <c r="G17" s="22" t="str">
        <f aca="false">IF(C17="","",ROUNDUP(E17/參數!$B$4,0))</f>
        <v/>
      </c>
      <c r="H17" s="22" t="str">
        <f aca="false">IF(C17="","",ROUNDUP(E17/參數!$B$5,0))</f>
        <v/>
      </c>
      <c r="I17" s="22" t="str">
        <f aca="false">IF(C17="","",F17+G17+H17)</f>
        <v/>
      </c>
      <c r="J17" s="23" t="str">
        <f aca="false">IF(C17="","",I17*365)</f>
        <v/>
      </c>
      <c r="K17" s="21" t="str">
        <f aca="false">IF(C17="","",J17/參數!$B$14)</f>
        <v/>
      </c>
      <c r="L17" s="28"/>
      <c r="M17" s="24" t="str">
        <f aca="false">IF(OR(C17="",L17=""),"",L17-K17)</f>
        <v/>
      </c>
      <c r="N17" s="21" t="str">
        <f aca="false">IF(OR(C17="",L17="",L17=0),"",MAX(0,(J17-L17*參數!$B$14)/L17))</f>
        <v/>
      </c>
      <c r="O17" s="25" t="str">
        <f aca="false">IF(C17="","",K17/C17)</f>
        <v/>
      </c>
    </row>
    <row r="18" customFormat="false" ht="15" hidden="false" customHeight="false" outlineLevel="0" collapsed="false">
      <c r="A18" s="26"/>
      <c r="B18" s="27"/>
      <c r="C18" s="28"/>
      <c r="D18" s="20" t="str">
        <f aca="false">IF(C18="","",參數!$B$17)</f>
        <v/>
      </c>
      <c r="E18" s="21" t="str">
        <f aca="false">IF(C18="","",C18*D18)</f>
        <v/>
      </c>
      <c r="F18" s="22" t="str">
        <f aca="false">IF(C18="","",ROUNDUP(E18/參數!$B$3,0))</f>
        <v/>
      </c>
      <c r="G18" s="22" t="str">
        <f aca="false">IF(C18="","",ROUNDUP(E18/參數!$B$4,0))</f>
        <v/>
      </c>
      <c r="H18" s="22" t="str">
        <f aca="false">IF(C18="","",ROUNDUP(E18/參數!$B$5,0))</f>
        <v/>
      </c>
      <c r="I18" s="22" t="str">
        <f aca="false">IF(C18="","",F18+G18+H18)</f>
        <v/>
      </c>
      <c r="J18" s="23" t="str">
        <f aca="false">IF(C18="","",I18*365)</f>
        <v/>
      </c>
      <c r="K18" s="21" t="str">
        <f aca="false">IF(C18="","",J18/參數!$B$14)</f>
        <v/>
      </c>
      <c r="L18" s="28"/>
      <c r="M18" s="24" t="str">
        <f aca="false">IF(OR(C18="",L18=""),"",L18-K18)</f>
        <v/>
      </c>
      <c r="N18" s="21" t="str">
        <f aca="false">IF(OR(C18="",L18="",L18=0),"",MAX(0,(J18-L18*參數!$B$14)/L18))</f>
        <v/>
      </c>
      <c r="O18" s="25" t="str">
        <f aca="false">IF(C18="","",K18/C18)</f>
        <v/>
      </c>
    </row>
    <row r="19" customFormat="false" ht="15" hidden="false" customHeight="false" outlineLevel="0" collapsed="false">
      <c r="A19" s="26"/>
      <c r="B19" s="27"/>
      <c r="C19" s="28"/>
      <c r="D19" s="20" t="str">
        <f aca="false">IF(C19="","",參數!$B$17)</f>
        <v/>
      </c>
      <c r="E19" s="21" t="str">
        <f aca="false">IF(C19="","",C19*D19)</f>
        <v/>
      </c>
      <c r="F19" s="22" t="str">
        <f aca="false">IF(C19="","",ROUNDUP(E19/參數!$B$3,0))</f>
        <v/>
      </c>
      <c r="G19" s="22" t="str">
        <f aca="false">IF(C19="","",ROUNDUP(E19/參數!$B$4,0))</f>
        <v/>
      </c>
      <c r="H19" s="22" t="str">
        <f aca="false">IF(C19="","",ROUNDUP(E19/參數!$B$5,0))</f>
        <v/>
      </c>
      <c r="I19" s="22" t="str">
        <f aca="false">IF(C19="","",F19+G19+H19)</f>
        <v/>
      </c>
      <c r="J19" s="23" t="str">
        <f aca="false">IF(C19="","",I19*365)</f>
        <v/>
      </c>
      <c r="K19" s="21" t="str">
        <f aca="false">IF(C19="","",J19/參數!$B$14)</f>
        <v/>
      </c>
      <c r="L19" s="28"/>
      <c r="M19" s="24" t="str">
        <f aca="false">IF(OR(C19="",L19=""),"",L19-K19)</f>
        <v/>
      </c>
      <c r="N19" s="21" t="str">
        <f aca="false">IF(OR(C19="",L19="",L19=0),"",MAX(0,(J19-L19*參數!$B$14)/L19))</f>
        <v/>
      </c>
      <c r="O19" s="25" t="str">
        <f aca="false">IF(C19="","",K19/C19)</f>
        <v/>
      </c>
    </row>
    <row r="20" customFormat="false" ht="15" hidden="false" customHeight="false" outlineLevel="0" collapsed="false">
      <c r="A20" s="26"/>
      <c r="B20" s="27"/>
      <c r="C20" s="28"/>
      <c r="D20" s="20" t="str">
        <f aca="false">IF(C20="","",參數!$B$17)</f>
        <v/>
      </c>
      <c r="E20" s="21" t="str">
        <f aca="false">IF(C20="","",C20*D20)</f>
        <v/>
      </c>
      <c r="F20" s="22" t="str">
        <f aca="false">IF(C20="","",ROUNDUP(E20/參數!$B$3,0))</f>
        <v/>
      </c>
      <c r="G20" s="22" t="str">
        <f aca="false">IF(C20="","",ROUNDUP(E20/參數!$B$4,0))</f>
        <v/>
      </c>
      <c r="H20" s="22" t="str">
        <f aca="false">IF(C20="","",ROUNDUP(E20/參數!$B$5,0))</f>
        <v/>
      </c>
      <c r="I20" s="22" t="str">
        <f aca="false">IF(C20="","",F20+G20+H20)</f>
        <v/>
      </c>
      <c r="J20" s="23" t="str">
        <f aca="false">IF(C20="","",I20*365)</f>
        <v/>
      </c>
      <c r="K20" s="21" t="str">
        <f aca="false">IF(C20="","",J20/參數!$B$14)</f>
        <v/>
      </c>
      <c r="L20" s="28"/>
      <c r="M20" s="24" t="str">
        <f aca="false">IF(OR(C20="",L20=""),"",L20-K20)</f>
        <v/>
      </c>
      <c r="N20" s="21" t="str">
        <f aca="false">IF(OR(C20="",L20="",L20=0),"",MAX(0,(J20-L20*參數!$B$14)/L20))</f>
        <v/>
      </c>
      <c r="O20" s="25" t="str">
        <f aca="false">IF(C20="","",K20/C20)</f>
        <v/>
      </c>
    </row>
    <row r="21" customFormat="false" ht="15" hidden="false" customHeight="false" outlineLevel="0" collapsed="false">
      <c r="A21" s="26"/>
      <c r="B21" s="27"/>
      <c r="C21" s="28"/>
      <c r="D21" s="20" t="str">
        <f aca="false">IF(C21="","",參數!$B$17)</f>
        <v/>
      </c>
      <c r="E21" s="21" t="str">
        <f aca="false">IF(C21="","",C21*D21)</f>
        <v/>
      </c>
      <c r="F21" s="22" t="str">
        <f aca="false">IF(C21="","",ROUNDUP(E21/參數!$B$3,0))</f>
        <v/>
      </c>
      <c r="G21" s="22" t="str">
        <f aca="false">IF(C21="","",ROUNDUP(E21/參數!$B$4,0))</f>
        <v/>
      </c>
      <c r="H21" s="22" t="str">
        <f aca="false">IF(C21="","",ROUNDUP(E21/參數!$B$5,0))</f>
        <v/>
      </c>
      <c r="I21" s="22" t="str">
        <f aca="false">IF(C21="","",F21+G21+H21)</f>
        <v/>
      </c>
      <c r="J21" s="23" t="str">
        <f aca="false">IF(C21="","",I21*365)</f>
        <v/>
      </c>
      <c r="K21" s="21" t="str">
        <f aca="false">IF(C21="","",J21/參數!$B$14)</f>
        <v/>
      </c>
      <c r="L21" s="28"/>
      <c r="M21" s="24" t="str">
        <f aca="false">IF(OR(C21="",L21=""),"",L21-K21)</f>
        <v/>
      </c>
      <c r="N21" s="21" t="str">
        <f aca="false">IF(OR(C21="",L21="",L21=0),"",MAX(0,(J21-L21*參數!$B$14)/L21))</f>
        <v/>
      </c>
      <c r="O21" s="25" t="str">
        <f aca="false">IF(C21="","",K21/C21)</f>
        <v/>
      </c>
    </row>
    <row r="22" customFormat="false" ht="15" hidden="false" customHeight="false" outlineLevel="0" collapsed="false">
      <c r="A22" s="29" t="s">
        <v>73</v>
      </c>
      <c r="C22" s="30" t="n">
        <f aca="false">SUM(C2:C21)</f>
        <v>199</v>
      </c>
      <c r="E22" s="31" t="n">
        <f aca="false">SUM(E2:E21)</f>
        <v>179.1</v>
      </c>
      <c r="I22" s="30" t="n">
        <f aca="false">SUM(I2:I21)</f>
        <v>71</v>
      </c>
      <c r="J22" s="30" t="n">
        <f aca="false">SUM(J2:J21)</f>
        <v>25915</v>
      </c>
      <c r="K22" s="31" t="n">
        <f aca="false">SUM(K2:K21)</f>
        <v>117.795454545455</v>
      </c>
      <c r="L22" s="30" t="n">
        <f aca="false">SUM(L2:L21)</f>
        <v>110</v>
      </c>
      <c r="M22" s="31" t="n">
        <f aca="false">SUM(M2:M21)</f>
        <v>-7.79545454545454</v>
      </c>
    </row>
    <row r="24" customFormat="false" ht="15" hidden="false" customHeight="false" outlineLevel="0" collapsed="false">
      <c r="A24" s="32" t="s">
        <v>74</v>
      </c>
    </row>
    <row r="25" customFormat="false" ht="15" hidden="false" customHeight="false" outlineLevel="0" collapsed="false">
      <c r="A25" s="3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6.15" hidden="false" customHeight="false" outlineLevel="0" collapsed="false">
      <c r="A1" s="34" t="s">
        <v>76</v>
      </c>
    </row>
    <row r="2" customFormat="false" ht="15" hidden="false" customHeight="false" outlineLevel="0" collapsed="false">
      <c r="A2" s="32" t="s">
        <v>77</v>
      </c>
    </row>
    <row r="4" customFormat="false" ht="36" hidden="false" customHeight="true" outlineLevel="0" collapsed="false">
      <c r="A4" s="16" t="s">
        <v>53</v>
      </c>
      <c r="B4" s="16" t="s">
        <v>78</v>
      </c>
      <c r="C4" s="16" t="s">
        <v>79</v>
      </c>
      <c r="D4" s="16" t="s">
        <v>80</v>
      </c>
      <c r="E4" s="16" t="s">
        <v>81</v>
      </c>
      <c r="F4" s="16" t="s">
        <v>82</v>
      </c>
      <c r="G4" s="16" t="s">
        <v>83</v>
      </c>
      <c r="H4" s="16" t="s">
        <v>84</v>
      </c>
    </row>
    <row r="5" customFormat="false" ht="15" hidden="false" customHeight="false" outlineLevel="0" collapsed="false">
      <c r="A5" s="35" t="n">
        <v>20</v>
      </c>
      <c r="B5" s="21" t="n">
        <f aca="false">A5*參數!$B$17</f>
        <v>18</v>
      </c>
      <c r="C5" s="22" t="n">
        <f aca="false">ROUNDUP(B5/參數!$B$3,0)</f>
        <v>3</v>
      </c>
      <c r="D5" s="22" t="n">
        <f aca="false">ROUNDUP(B5/參數!$B$4,0)</f>
        <v>2</v>
      </c>
      <c r="E5" s="22" t="n">
        <f aca="false">ROUNDUP(B5/參數!$B$5,0)</f>
        <v>2</v>
      </c>
      <c r="F5" s="22" t="n">
        <f aca="false">C5+D5+E5</f>
        <v>7</v>
      </c>
      <c r="G5" s="21" t="n">
        <f aca="false">F5*365/參數!$B$14</f>
        <v>11.6136363636364</v>
      </c>
      <c r="H5" s="21"/>
    </row>
    <row r="6" customFormat="false" ht="15" hidden="false" customHeight="false" outlineLevel="0" collapsed="false">
      <c r="A6" s="35" t="n">
        <v>22</v>
      </c>
      <c r="B6" s="21" t="n">
        <f aca="false">A6*參數!$B$17</f>
        <v>19.8</v>
      </c>
      <c r="C6" s="22" t="n">
        <f aca="false">ROUNDUP(B6/參數!$B$3,0)</f>
        <v>4</v>
      </c>
      <c r="D6" s="22" t="n">
        <f aca="false">ROUNDUP(B6/參數!$B$4,0)</f>
        <v>3</v>
      </c>
      <c r="E6" s="22" t="n">
        <f aca="false">ROUNDUP(B6/參數!$B$5,0)</f>
        <v>2</v>
      </c>
      <c r="F6" s="22" t="n">
        <f aca="false">C6+D6+E6</f>
        <v>9</v>
      </c>
      <c r="G6" s="21" t="n">
        <f aca="false">F6*365/參數!$B$14</f>
        <v>14.9318181818182</v>
      </c>
      <c r="H6" s="21" t="n">
        <f aca="false">G6-G5</f>
        <v>3.31818181818182</v>
      </c>
    </row>
    <row r="7" customFormat="false" ht="15" hidden="false" customHeight="false" outlineLevel="0" collapsed="false">
      <c r="A7" s="35" t="n">
        <v>24</v>
      </c>
      <c r="B7" s="21" t="n">
        <f aca="false">A7*參數!$B$17</f>
        <v>21.6</v>
      </c>
      <c r="C7" s="22" t="n">
        <f aca="false">ROUNDUP(B7/參數!$B$3,0)</f>
        <v>4</v>
      </c>
      <c r="D7" s="22" t="n">
        <f aca="false">ROUNDUP(B7/參數!$B$4,0)</f>
        <v>3</v>
      </c>
      <c r="E7" s="22" t="n">
        <f aca="false">ROUNDUP(B7/參數!$B$5,0)</f>
        <v>2</v>
      </c>
      <c r="F7" s="22" t="n">
        <f aca="false">C7+D7+E7</f>
        <v>9</v>
      </c>
      <c r="G7" s="21" t="n">
        <f aca="false">F7*365/參數!$B$14</f>
        <v>14.9318181818182</v>
      </c>
      <c r="H7" s="21" t="n">
        <f aca="false">G7-G6</f>
        <v>0</v>
      </c>
    </row>
    <row r="8" customFormat="false" ht="15" hidden="false" customHeight="false" outlineLevel="0" collapsed="false">
      <c r="A8" s="35" t="n">
        <v>26</v>
      </c>
      <c r="B8" s="21" t="n">
        <f aca="false">A8*參數!$B$17</f>
        <v>23.4</v>
      </c>
      <c r="C8" s="22" t="n">
        <f aca="false">ROUNDUP(B8/參數!$B$3,0)</f>
        <v>4</v>
      </c>
      <c r="D8" s="22" t="n">
        <f aca="false">ROUNDUP(B8/參數!$B$4,0)</f>
        <v>3</v>
      </c>
      <c r="E8" s="22" t="n">
        <f aca="false">ROUNDUP(B8/參數!$B$5,0)</f>
        <v>3</v>
      </c>
      <c r="F8" s="22" t="n">
        <f aca="false">C8+D8+E8</f>
        <v>10</v>
      </c>
      <c r="G8" s="21" t="n">
        <f aca="false">F8*365/參數!$B$14</f>
        <v>16.5909090909091</v>
      </c>
      <c r="H8" s="21" t="n">
        <f aca="false">G8-G7</f>
        <v>1.65909090909091</v>
      </c>
    </row>
    <row r="9" customFormat="false" ht="15" hidden="false" customHeight="false" outlineLevel="0" collapsed="false">
      <c r="A9" s="35" t="n">
        <v>28</v>
      </c>
      <c r="B9" s="21" t="n">
        <f aca="false">A9*參數!$B$17</f>
        <v>25.2</v>
      </c>
      <c r="C9" s="22" t="n">
        <f aca="false">ROUNDUP(B9/參數!$B$3,0)</f>
        <v>5</v>
      </c>
      <c r="D9" s="22" t="n">
        <f aca="false">ROUNDUP(B9/參數!$B$4,0)</f>
        <v>3</v>
      </c>
      <c r="E9" s="22" t="n">
        <f aca="false">ROUNDUP(B9/參數!$B$5,0)</f>
        <v>3</v>
      </c>
      <c r="F9" s="22" t="n">
        <f aca="false">C9+D9+E9</f>
        <v>11</v>
      </c>
      <c r="G9" s="21" t="n">
        <f aca="false">F9*365/參數!$B$14</f>
        <v>18.25</v>
      </c>
      <c r="H9" s="21" t="n">
        <f aca="false">G9-G8</f>
        <v>1.65909090909091</v>
      </c>
    </row>
    <row r="10" customFormat="false" ht="15" hidden="false" customHeight="false" outlineLevel="0" collapsed="false">
      <c r="A10" s="35" t="n">
        <v>30</v>
      </c>
      <c r="B10" s="21" t="n">
        <f aca="false">A10*參數!$B$17</f>
        <v>27</v>
      </c>
      <c r="C10" s="22" t="n">
        <f aca="false">ROUNDUP(B10/參數!$B$3,0)</f>
        <v>5</v>
      </c>
      <c r="D10" s="22" t="n">
        <f aca="false">ROUNDUP(B10/參數!$B$4,0)</f>
        <v>3</v>
      </c>
      <c r="E10" s="22" t="n">
        <f aca="false">ROUNDUP(B10/參數!$B$5,0)</f>
        <v>3</v>
      </c>
      <c r="F10" s="22" t="n">
        <f aca="false">C10+D10+E10</f>
        <v>11</v>
      </c>
      <c r="G10" s="21" t="n">
        <f aca="false">F10*365/參數!$B$14</f>
        <v>18.25</v>
      </c>
      <c r="H10" s="21" t="n">
        <f aca="false">G10-G9</f>
        <v>0</v>
      </c>
    </row>
    <row r="11" customFormat="false" ht="15" hidden="false" customHeight="false" outlineLevel="0" collapsed="false">
      <c r="A11" s="35" t="n">
        <v>32</v>
      </c>
      <c r="B11" s="21" t="n">
        <f aca="false">A11*參數!$B$17</f>
        <v>28.8</v>
      </c>
      <c r="C11" s="22" t="n">
        <f aca="false">ROUNDUP(B11/參數!$B$3,0)</f>
        <v>5</v>
      </c>
      <c r="D11" s="22" t="n">
        <f aca="false">ROUNDUP(B11/參數!$B$4,0)</f>
        <v>4</v>
      </c>
      <c r="E11" s="22" t="n">
        <f aca="false">ROUNDUP(B11/參數!$B$5,0)</f>
        <v>3</v>
      </c>
      <c r="F11" s="22" t="n">
        <f aca="false">C11+D11+E11</f>
        <v>12</v>
      </c>
      <c r="G11" s="21" t="n">
        <f aca="false">F11*365/參數!$B$14</f>
        <v>19.9090909090909</v>
      </c>
      <c r="H11" s="21" t="n">
        <f aca="false">G11-G10</f>
        <v>1.65909090909091</v>
      </c>
    </row>
    <row r="12" customFormat="false" ht="15" hidden="false" customHeight="false" outlineLevel="0" collapsed="false">
      <c r="A12" s="35" t="n">
        <v>34</v>
      </c>
      <c r="B12" s="21" t="n">
        <f aca="false">A12*參數!$B$17</f>
        <v>30.6</v>
      </c>
      <c r="C12" s="22" t="n">
        <f aca="false">ROUNDUP(B12/參數!$B$3,0)</f>
        <v>6</v>
      </c>
      <c r="D12" s="22" t="n">
        <f aca="false">ROUNDUP(B12/參數!$B$4,0)</f>
        <v>4</v>
      </c>
      <c r="E12" s="22" t="n">
        <f aca="false">ROUNDUP(B12/參數!$B$5,0)</f>
        <v>3</v>
      </c>
      <c r="F12" s="22" t="n">
        <f aca="false">C12+D12+E12</f>
        <v>13</v>
      </c>
      <c r="G12" s="21" t="n">
        <f aca="false">F12*365/參數!$B$14</f>
        <v>21.5681818181818</v>
      </c>
      <c r="H12" s="21" t="n">
        <f aca="false">G12-G11</f>
        <v>1.65909090909091</v>
      </c>
    </row>
    <row r="13" customFormat="false" ht="15" hidden="false" customHeight="false" outlineLevel="0" collapsed="false">
      <c r="A13" s="35" t="n">
        <v>36</v>
      </c>
      <c r="B13" s="21" t="n">
        <f aca="false">A13*參數!$B$17</f>
        <v>32.4</v>
      </c>
      <c r="C13" s="22" t="n">
        <f aca="false">ROUNDUP(B13/參數!$B$3,0)</f>
        <v>6</v>
      </c>
      <c r="D13" s="22" t="n">
        <f aca="false">ROUNDUP(B13/參數!$B$4,0)</f>
        <v>4</v>
      </c>
      <c r="E13" s="22" t="n">
        <f aca="false">ROUNDUP(B13/參數!$B$5,0)</f>
        <v>3</v>
      </c>
      <c r="F13" s="22" t="n">
        <f aca="false">C13+D13+E13</f>
        <v>13</v>
      </c>
      <c r="G13" s="21" t="n">
        <f aca="false">F13*365/參數!$B$14</f>
        <v>21.5681818181818</v>
      </c>
      <c r="H13" s="21" t="n">
        <f aca="false">G13-G12</f>
        <v>0</v>
      </c>
    </row>
    <row r="14" customFormat="false" ht="15" hidden="false" customHeight="false" outlineLevel="0" collapsed="false">
      <c r="A14" s="35" t="n">
        <v>38</v>
      </c>
      <c r="B14" s="21" t="n">
        <f aca="false">A14*參數!$B$17</f>
        <v>34.2</v>
      </c>
      <c r="C14" s="22" t="n">
        <f aca="false">ROUNDUP(B14/參數!$B$3,0)</f>
        <v>6</v>
      </c>
      <c r="D14" s="22" t="n">
        <f aca="false">ROUNDUP(B14/參數!$B$4,0)</f>
        <v>4</v>
      </c>
      <c r="E14" s="22" t="n">
        <f aca="false">ROUNDUP(B14/參數!$B$5,0)</f>
        <v>4</v>
      </c>
      <c r="F14" s="22" t="n">
        <f aca="false">C14+D14+E14</f>
        <v>14</v>
      </c>
      <c r="G14" s="21" t="n">
        <f aca="false">F14*365/參數!$B$14</f>
        <v>23.2272727272727</v>
      </c>
      <c r="H14" s="21" t="n">
        <f aca="false">G14-G13</f>
        <v>1.65909090909091</v>
      </c>
    </row>
    <row r="15" customFormat="false" ht="15" hidden="false" customHeight="false" outlineLevel="0" collapsed="false">
      <c r="A15" s="35" t="n">
        <v>40</v>
      </c>
      <c r="B15" s="21" t="n">
        <f aca="false">A15*參數!$B$17</f>
        <v>36</v>
      </c>
      <c r="C15" s="22" t="n">
        <f aca="false">ROUNDUP(B15/參數!$B$3,0)</f>
        <v>6</v>
      </c>
      <c r="D15" s="22" t="n">
        <f aca="false">ROUNDUP(B15/參數!$B$4,0)</f>
        <v>4</v>
      </c>
      <c r="E15" s="22" t="n">
        <f aca="false">ROUNDUP(B15/參數!$B$5,0)</f>
        <v>4</v>
      </c>
      <c r="F15" s="22" t="n">
        <f aca="false">C15+D15+E15</f>
        <v>14</v>
      </c>
      <c r="G15" s="21" t="n">
        <f aca="false">F15*365/參數!$B$14</f>
        <v>23.2272727272727</v>
      </c>
      <c r="H15" s="21" t="n">
        <f aca="false">G15-G14</f>
        <v>0</v>
      </c>
    </row>
    <row r="16" customFormat="false" ht="15" hidden="false" customHeight="false" outlineLevel="0" collapsed="false">
      <c r="A16" s="35" t="n">
        <v>42</v>
      </c>
      <c r="B16" s="21" t="n">
        <f aca="false">A16*參數!$B$17</f>
        <v>37.8</v>
      </c>
      <c r="C16" s="22" t="n">
        <f aca="false">ROUNDUP(B16/參數!$B$3,0)</f>
        <v>7</v>
      </c>
      <c r="D16" s="22" t="n">
        <f aca="false">ROUNDUP(B16/參數!$B$4,0)</f>
        <v>5</v>
      </c>
      <c r="E16" s="22" t="n">
        <f aca="false">ROUNDUP(B16/參數!$B$5,0)</f>
        <v>4</v>
      </c>
      <c r="F16" s="22" t="n">
        <f aca="false">C16+D16+E16</f>
        <v>16</v>
      </c>
      <c r="G16" s="21" t="n">
        <f aca="false">F16*365/參數!$B$14</f>
        <v>26.5454545454545</v>
      </c>
      <c r="H16" s="21" t="n">
        <f aca="false">G16-G15</f>
        <v>3.31818181818182</v>
      </c>
    </row>
    <row r="17" customFormat="false" ht="15" hidden="false" customHeight="false" outlineLevel="0" collapsed="false">
      <c r="A17" s="35" t="n">
        <v>44</v>
      </c>
      <c r="B17" s="21" t="n">
        <f aca="false">A17*參數!$B$17</f>
        <v>39.6</v>
      </c>
      <c r="C17" s="22" t="n">
        <f aca="false">ROUNDUP(B17/參數!$B$3,0)</f>
        <v>7</v>
      </c>
      <c r="D17" s="22" t="n">
        <f aca="false">ROUNDUP(B17/參數!$B$4,0)</f>
        <v>5</v>
      </c>
      <c r="E17" s="22" t="n">
        <f aca="false">ROUNDUP(B17/參數!$B$5,0)</f>
        <v>4</v>
      </c>
      <c r="F17" s="22" t="n">
        <f aca="false">C17+D17+E17</f>
        <v>16</v>
      </c>
      <c r="G17" s="21" t="n">
        <f aca="false">F17*365/參數!$B$14</f>
        <v>26.5454545454545</v>
      </c>
      <c r="H17" s="21" t="n">
        <f aca="false">G17-G16</f>
        <v>0</v>
      </c>
    </row>
    <row r="18" customFormat="false" ht="15" hidden="false" customHeight="false" outlineLevel="0" collapsed="false">
      <c r="A18" s="35" t="n">
        <v>46</v>
      </c>
      <c r="B18" s="21" t="n">
        <f aca="false">A18*參數!$B$17</f>
        <v>41.4</v>
      </c>
      <c r="C18" s="22" t="n">
        <f aca="false">ROUNDUP(B18/參數!$B$3,0)</f>
        <v>7</v>
      </c>
      <c r="D18" s="22" t="n">
        <f aca="false">ROUNDUP(B18/參數!$B$4,0)</f>
        <v>5</v>
      </c>
      <c r="E18" s="22" t="n">
        <f aca="false">ROUNDUP(B18/參數!$B$5,0)</f>
        <v>4</v>
      </c>
      <c r="F18" s="22" t="n">
        <f aca="false">C18+D18+E18</f>
        <v>16</v>
      </c>
      <c r="G18" s="21" t="n">
        <f aca="false">F18*365/參數!$B$14</f>
        <v>26.5454545454545</v>
      </c>
      <c r="H18" s="21" t="n">
        <f aca="false">G18-G17</f>
        <v>0</v>
      </c>
    </row>
    <row r="19" customFormat="false" ht="15" hidden="false" customHeight="false" outlineLevel="0" collapsed="false">
      <c r="A19" s="35" t="n">
        <v>48</v>
      </c>
      <c r="B19" s="21" t="n">
        <f aca="false">A19*參數!$B$17</f>
        <v>43.2</v>
      </c>
      <c r="C19" s="22" t="n">
        <f aca="false">ROUNDUP(B19/參數!$B$3,0)</f>
        <v>8</v>
      </c>
      <c r="D19" s="22" t="n">
        <f aca="false">ROUNDUP(B19/參數!$B$4,0)</f>
        <v>5</v>
      </c>
      <c r="E19" s="22" t="n">
        <f aca="false">ROUNDUP(B19/參數!$B$5,0)</f>
        <v>4</v>
      </c>
      <c r="F19" s="22" t="n">
        <f aca="false">C19+D19+E19</f>
        <v>17</v>
      </c>
      <c r="G19" s="21" t="n">
        <f aca="false">F19*365/參數!$B$14</f>
        <v>28.2045454545455</v>
      </c>
      <c r="H19" s="21" t="n">
        <f aca="false">G19-G18</f>
        <v>1.65909090909091</v>
      </c>
    </row>
    <row r="20" customFormat="false" ht="15" hidden="false" customHeight="false" outlineLevel="0" collapsed="false">
      <c r="A20" s="35" t="n">
        <v>50</v>
      </c>
      <c r="B20" s="21" t="n">
        <f aca="false">A20*參數!$B$17</f>
        <v>45</v>
      </c>
      <c r="C20" s="22" t="n">
        <f aca="false">ROUNDUP(B20/參數!$B$3,0)</f>
        <v>8</v>
      </c>
      <c r="D20" s="22" t="n">
        <f aca="false">ROUNDUP(B20/參數!$B$4,0)</f>
        <v>5</v>
      </c>
      <c r="E20" s="22" t="n">
        <f aca="false">ROUNDUP(B20/參數!$B$5,0)</f>
        <v>5</v>
      </c>
      <c r="F20" s="22" t="n">
        <f aca="false">C20+D20+E20</f>
        <v>18</v>
      </c>
      <c r="G20" s="21" t="n">
        <f aca="false">F20*365/參數!$B$14</f>
        <v>29.8636363636364</v>
      </c>
      <c r="H20" s="21" t="n">
        <f aca="false">G20-G19</f>
        <v>1.65909090909091</v>
      </c>
    </row>
    <row r="21" customFormat="false" ht="15" hidden="false" customHeight="false" outlineLevel="0" collapsed="false">
      <c r="A21" s="35" t="n">
        <v>52</v>
      </c>
      <c r="B21" s="21" t="n">
        <f aca="false">A21*參數!$B$17</f>
        <v>46.8</v>
      </c>
      <c r="C21" s="22" t="n">
        <f aca="false">ROUNDUP(B21/參數!$B$3,0)</f>
        <v>8</v>
      </c>
      <c r="D21" s="22" t="n">
        <f aca="false">ROUNDUP(B21/參數!$B$4,0)</f>
        <v>6</v>
      </c>
      <c r="E21" s="22" t="n">
        <f aca="false">ROUNDUP(B21/參數!$B$5,0)</f>
        <v>5</v>
      </c>
      <c r="F21" s="22" t="n">
        <f aca="false">C21+D21+E21</f>
        <v>19</v>
      </c>
      <c r="G21" s="21" t="n">
        <f aca="false">F21*365/參數!$B$14</f>
        <v>31.5227272727273</v>
      </c>
      <c r="H21" s="21" t="n">
        <f aca="false">G21-G20</f>
        <v>1.65909090909091</v>
      </c>
    </row>
    <row r="22" customFormat="false" ht="15" hidden="false" customHeight="false" outlineLevel="0" collapsed="false">
      <c r="A22" s="35" t="n">
        <v>54</v>
      </c>
      <c r="B22" s="21" t="n">
        <f aca="false">A22*參數!$B$17</f>
        <v>48.6</v>
      </c>
      <c r="C22" s="22" t="n">
        <f aca="false">ROUNDUP(B22/參數!$B$3,0)</f>
        <v>9</v>
      </c>
      <c r="D22" s="22" t="n">
        <f aca="false">ROUNDUP(B22/參數!$B$4,0)</f>
        <v>6</v>
      </c>
      <c r="E22" s="22" t="n">
        <f aca="false">ROUNDUP(B22/參數!$B$5,0)</f>
        <v>5</v>
      </c>
      <c r="F22" s="22" t="n">
        <f aca="false">C22+D22+E22</f>
        <v>20</v>
      </c>
      <c r="G22" s="21" t="n">
        <f aca="false">F22*365/參數!$B$14</f>
        <v>33.1818181818182</v>
      </c>
      <c r="H22" s="21" t="n">
        <f aca="false">G22-G21</f>
        <v>1.65909090909091</v>
      </c>
    </row>
    <row r="23" customFormat="false" ht="15" hidden="false" customHeight="false" outlineLevel="0" collapsed="false">
      <c r="A23" s="35" t="n">
        <v>56</v>
      </c>
      <c r="B23" s="21" t="n">
        <f aca="false">A23*參數!$B$17</f>
        <v>50.4</v>
      </c>
      <c r="C23" s="22" t="n">
        <f aca="false">ROUNDUP(B23/參數!$B$3,0)</f>
        <v>9</v>
      </c>
      <c r="D23" s="22" t="n">
        <f aca="false">ROUNDUP(B23/參數!$B$4,0)</f>
        <v>6</v>
      </c>
      <c r="E23" s="22" t="n">
        <f aca="false">ROUNDUP(B23/參數!$B$5,0)</f>
        <v>5</v>
      </c>
      <c r="F23" s="22" t="n">
        <f aca="false">C23+D23+E23</f>
        <v>20</v>
      </c>
      <c r="G23" s="21" t="n">
        <f aca="false">F23*365/參數!$B$14</f>
        <v>33.1818181818182</v>
      </c>
      <c r="H23" s="21" t="n">
        <f aca="false">G23-G22</f>
        <v>0</v>
      </c>
    </row>
    <row r="24" customFormat="false" ht="15" hidden="false" customHeight="false" outlineLevel="0" collapsed="false">
      <c r="A24" s="35" t="n">
        <v>58</v>
      </c>
      <c r="B24" s="21" t="n">
        <f aca="false">A24*參數!$B$17</f>
        <v>52.2</v>
      </c>
      <c r="C24" s="22" t="n">
        <f aca="false">ROUNDUP(B24/參數!$B$3,0)</f>
        <v>9</v>
      </c>
      <c r="D24" s="22" t="n">
        <f aca="false">ROUNDUP(B24/參數!$B$4,0)</f>
        <v>6</v>
      </c>
      <c r="E24" s="22" t="n">
        <f aca="false">ROUNDUP(B24/參數!$B$5,0)</f>
        <v>5</v>
      </c>
      <c r="F24" s="22" t="n">
        <f aca="false">C24+D24+E24</f>
        <v>20</v>
      </c>
      <c r="G24" s="21" t="n">
        <f aca="false">F24*365/參數!$B$14</f>
        <v>33.1818181818182</v>
      </c>
      <c r="H24" s="21" t="n">
        <f aca="false">G24-G23</f>
        <v>0</v>
      </c>
    </row>
    <row r="25" customFormat="false" ht="15" hidden="false" customHeight="false" outlineLevel="0" collapsed="false">
      <c r="A25" s="35" t="n">
        <v>60</v>
      </c>
      <c r="B25" s="21" t="n">
        <f aca="false">A25*參數!$B$17</f>
        <v>54</v>
      </c>
      <c r="C25" s="22" t="n">
        <f aca="false">ROUNDUP(B25/參數!$B$3,0)</f>
        <v>9</v>
      </c>
      <c r="D25" s="22" t="n">
        <f aca="false">ROUNDUP(B25/參數!$B$4,0)</f>
        <v>6</v>
      </c>
      <c r="E25" s="22" t="n">
        <f aca="false">ROUNDUP(B25/參數!$B$5,0)</f>
        <v>5</v>
      </c>
      <c r="F25" s="22" t="n">
        <f aca="false">C25+D25+E25</f>
        <v>20</v>
      </c>
      <c r="G25" s="21" t="n">
        <f aca="false">F25*365/參數!$B$14</f>
        <v>33.1818181818182</v>
      </c>
      <c r="H25" s="21" t="n">
        <f aca="false">G25-G24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6" min="2" style="0" width="11"/>
  </cols>
  <sheetData>
    <row r="1" customFormat="false" ht="17.15" hidden="false" customHeight="false" outlineLevel="0" collapsed="false">
      <c r="A1" s="34" t="s">
        <v>85</v>
      </c>
    </row>
    <row r="2" customFormat="false" ht="15" hidden="false" customHeight="false" outlineLevel="0" collapsed="false">
      <c r="A2" s="32" t="s">
        <v>86</v>
      </c>
    </row>
    <row r="4" customFormat="false" ht="66" hidden="false" customHeight="true" outlineLevel="0" collapsed="false">
      <c r="A4" s="16" t="s">
        <v>51</v>
      </c>
      <c r="B4" s="16" t="s">
        <v>53</v>
      </c>
      <c r="C4" s="16" t="s">
        <v>54</v>
      </c>
      <c r="D4" s="16" t="s">
        <v>55</v>
      </c>
      <c r="E4" s="16" t="s">
        <v>87</v>
      </c>
      <c r="F4" s="16" t="s">
        <v>88</v>
      </c>
      <c r="G4" s="16" t="s">
        <v>89</v>
      </c>
      <c r="H4" s="16" t="s">
        <v>90</v>
      </c>
      <c r="I4" s="16" t="s">
        <v>91</v>
      </c>
      <c r="J4" s="16" t="s">
        <v>92</v>
      </c>
      <c r="K4" s="16" t="s">
        <v>93</v>
      </c>
      <c r="L4" s="16" t="s">
        <v>94</v>
      </c>
      <c r="M4" s="16" t="s">
        <v>95</v>
      </c>
      <c r="N4" s="16" t="s">
        <v>62</v>
      </c>
      <c r="O4" s="16" t="s">
        <v>96</v>
      </c>
      <c r="P4" s="16" t="s">
        <v>97</v>
      </c>
    </row>
    <row r="5" customFormat="false" ht="15" hidden="false" customHeight="false" outlineLevel="0" collapsed="false">
      <c r="A5" s="17" t="s">
        <v>98</v>
      </c>
      <c r="B5" s="19" t="n">
        <v>20</v>
      </c>
      <c r="C5" s="20" t="n">
        <f aca="false">IF(B5="","",參數!$B$18)</f>
        <v>0.9</v>
      </c>
      <c r="D5" s="21" t="n">
        <f aca="false">IF(B5="","",B5*C5)</f>
        <v>18</v>
      </c>
      <c r="E5" s="36" t="n">
        <v>2</v>
      </c>
      <c r="F5" s="36" t="n">
        <v>2</v>
      </c>
      <c r="G5" s="36" t="n">
        <v>2</v>
      </c>
      <c r="H5" s="22" t="n">
        <f aca="false">IF(OR(B5="",E5=""),"",ROUNDUP(D5/E5,0))</f>
        <v>9</v>
      </c>
      <c r="I5" s="22" t="n">
        <f aca="false">IF(OR(B5="",F5=""),"",ROUNDUP(D5/F5,0))</f>
        <v>9</v>
      </c>
      <c r="J5" s="22" t="n">
        <f aca="false">IF(OR(B5="",G5=""),"",ROUNDUP(D5/G5,0))</f>
        <v>9</v>
      </c>
      <c r="K5" s="22" t="n">
        <f aca="false">IF(B5="","",H5+I5+J5)</f>
        <v>27</v>
      </c>
      <c r="L5" s="21" t="n">
        <f aca="false">IF(B5="","",K5*365/參數!$B$14)</f>
        <v>44.7954545454546</v>
      </c>
      <c r="M5" s="21" t="n">
        <f aca="false">IF(B5="","",B5*1.5)</f>
        <v>30</v>
      </c>
      <c r="N5" s="19" t="n">
        <v>30</v>
      </c>
      <c r="O5" s="24" t="n">
        <f aca="false">IF(OR(B5="",N5=""),"",N5-L5)</f>
        <v>-14.7954545454545</v>
      </c>
      <c r="P5" s="24" t="n">
        <f aca="false">IF(OR(B5="",N5=""),"",N5-M5)</f>
        <v>0</v>
      </c>
    </row>
    <row r="6" customFormat="false" ht="15" hidden="false" customHeight="false" outlineLevel="0" collapsed="false">
      <c r="A6" s="17" t="s">
        <v>99</v>
      </c>
      <c r="B6" s="19" t="n">
        <v>20</v>
      </c>
      <c r="C6" s="20" t="n">
        <f aca="false">IF(B6="","",參數!$B$18)</f>
        <v>0.9</v>
      </c>
      <c r="D6" s="21" t="n">
        <f aca="false">IF(B6="","",B6*C6)</f>
        <v>18</v>
      </c>
      <c r="E6" s="36" t="n">
        <v>2</v>
      </c>
      <c r="F6" s="36" t="n">
        <v>2</v>
      </c>
      <c r="G6" s="36" t="n">
        <v>2</v>
      </c>
      <c r="H6" s="22" t="n">
        <f aca="false">IF(OR(B6="",E6=""),"",ROUNDUP(D6/E6,0))</f>
        <v>9</v>
      </c>
      <c r="I6" s="22" t="n">
        <f aca="false">IF(OR(B6="",F6=""),"",ROUNDUP(D6/F6,0))</f>
        <v>9</v>
      </c>
      <c r="J6" s="22" t="n">
        <f aca="false">IF(OR(B6="",G6=""),"",ROUNDUP(D6/G6,0))</f>
        <v>9</v>
      </c>
      <c r="K6" s="22" t="n">
        <f aca="false">IF(B6="","",H6+I6+J6)</f>
        <v>27</v>
      </c>
      <c r="L6" s="21" t="n">
        <f aca="false">IF(B6="","",K6*365/參數!$B$14)</f>
        <v>44.7954545454546</v>
      </c>
      <c r="M6" s="21" t="n">
        <f aca="false">IF(B6="","",B6*1.5)</f>
        <v>30</v>
      </c>
      <c r="N6" s="19" t="n">
        <v>32</v>
      </c>
      <c r="O6" s="24" t="n">
        <f aca="false">IF(OR(B6="",N6=""),"",N6-L6)</f>
        <v>-12.7954545454545</v>
      </c>
      <c r="P6" s="24" t="n">
        <f aca="false">IF(OR(B6="",N6=""),"",N6-M6)</f>
        <v>2</v>
      </c>
    </row>
    <row r="7" customFormat="false" ht="15" hidden="false" customHeight="false" outlineLevel="0" collapsed="false">
      <c r="A7" s="26"/>
      <c r="B7" s="28"/>
      <c r="C7" s="20" t="str">
        <f aca="false">IF(B7="","",參數!$B$18)</f>
        <v/>
      </c>
      <c r="D7" s="21" t="str">
        <f aca="false">IF(B7="","",B7*C7)</f>
        <v/>
      </c>
      <c r="E7" s="37"/>
      <c r="F7" s="37"/>
      <c r="G7" s="37"/>
      <c r="H7" s="22" t="str">
        <f aca="false">IF(OR(B7="",E7=""),"",ROUNDUP(D7/E7,0))</f>
        <v/>
      </c>
      <c r="I7" s="22" t="str">
        <f aca="false">IF(OR(B7="",F7=""),"",ROUNDUP(D7/F7,0))</f>
        <v/>
      </c>
      <c r="J7" s="22" t="str">
        <f aca="false">IF(OR(B7="",G7=""),"",ROUNDUP(D7/G7,0))</f>
        <v/>
      </c>
      <c r="K7" s="22" t="str">
        <f aca="false">IF(B7="","",H7+I7+J7)</f>
        <v/>
      </c>
      <c r="L7" s="21" t="str">
        <f aca="false">IF(B7="","",K7*365/參數!$B$14)</f>
        <v/>
      </c>
      <c r="M7" s="21" t="str">
        <f aca="false">IF(B7="","",B7*1.5)</f>
        <v/>
      </c>
      <c r="N7" s="28"/>
      <c r="O7" s="24" t="str">
        <f aca="false">IF(OR(B7="",N7=""),"",N7-L7)</f>
        <v/>
      </c>
      <c r="P7" s="24" t="str">
        <f aca="false">IF(OR(B7="",N7=""),"",N7-M7)</f>
        <v/>
      </c>
    </row>
    <row r="8" customFormat="false" ht="15" hidden="false" customHeight="false" outlineLevel="0" collapsed="false">
      <c r="A8" s="26"/>
      <c r="B8" s="28"/>
      <c r="C8" s="20" t="str">
        <f aca="false">IF(B8="","",參數!$B$18)</f>
        <v/>
      </c>
      <c r="D8" s="21" t="str">
        <f aca="false">IF(B8="","",B8*C8)</f>
        <v/>
      </c>
      <c r="E8" s="37"/>
      <c r="F8" s="37"/>
      <c r="G8" s="37"/>
      <c r="H8" s="22" t="str">
        <f aca="false">IF(OR(B8="",E8=""),"",ROUNDUP(D8/E8,0))</f>
        <v/>
      </c>
      <c r="I8" s="22" t="str">
        <f aca="false">IF(OR(B8="",F8=""),"",ROUNDUP(D8/F8,0))</f>
        <v/>
      </c>
      <c r="J8" s="22" t="str">
        <f aca="false">IF(OR(B8="",G8=""),"",ROUNDUP(D8/G8,0))</f>
        <v/>
      </c>
      <c r="K8" s="22" t="str">
        <f aca="false">IF(B8="","",H8+I8+J8)</f>
        <v/>
      </c>
      <c r="L8" s="21" t="str">
        <f aca="false">IF(B8="","",K8*365/參數!$B$14)</f>
        <v/>
      </c>
      <c r="M8" s="21" t="str">
        <f aca="false">IF(B8="","",B8*1.5)</f>
        <v/>
      </c>
      <c r="N8" s="28"/>
      <c r="O8" s="24" t="str">
        <f aca="false">IF(OR(B8="",N8=""),"",N8-L8)</f>
        <v/>
      </c>
      <c r="P8" s="24" t="str">
        <f aca="false">IF(OR(B8="",N8=""),"",N8-M8)</f>
        <v/>
      </c>
    </row>
    <row r="9" customFormat="false" ht="15" hidden="false" customHeight="false" outlineLevel="0" collapsed="false">
      <c r="A9" s="26"/>
      <c r="B9" s="28"/>
      <c r="C9" s="20" t="str">
        <f aca="false">IF(B9="","",參數!$B$18)</f>
        <v/>
      </c>
      <c r="D9" s="21" t="str">
        <f aca="false">IF(B9="","",B9*C9)</f>
        <v/>
      </c>
      <c r="E9" s="37"/>
      <c r="F9" s="37"/>
      <c r="G9" s="37"/>
      <c r="H9" s="22" t="str">
        <f aca="false">IF(OR(B9="",E9=""),"",ROUNDUP(D9/E9,0))</f>
        <v/>
      </c>
      <c r="I9" s="22" t="str">
        <f aca="false">IF(OR(B9="",F9=""),"",ROUNDUP(D9/F9,0))</f>
        <v/>
      </c>
      <c r="J9" s="22" t="str">
        <f aca="false">IF(OR(B9="",G9=""),"",ROUNDUP(D9/G9,0))</f>
        <v/>
      </c>
      <c r="K9" s="22" t="str">
        <f aca="false">IF(B9="","",H9+I9+J9)</f>
        <v/>
      </c>
      <c r="L9" s="21" t="str">
        <f aca="false">IF(B9="","",K9*365/參數!$B$14)</f>
        <v/>
      </c>
      <c r="M9" s="21" t="str">
        <f aca="false">IF(B9="","",B9*1.5)</f>
        <v/>
      </c>
      <c r="N9" s="28"/>
      <c r="O9" s="24" t="str">
        <f aca="false">IF(OR(B9="",N9=""),"",N9-L9)</f>
        <v/>
      </c>
      <c r="P9" s="24" t="str">
        <f aca="false">IF(OR(B9="",N9=""),"",N9-M9)</f>
        <v/>
      </c>
    </row>
    <row r="10" customFormat="false" ht="15" hidden="false" customHeight="false" outlineLevel="0" collapsed="false">
      <c r="A10" s="26"/>
      <c r="B10" s="28"/>
      <c r="C10" s="20" t="str">
        <f aca="false">IF(B10="","",參數!$B$18)</f>
        <v/>
      </c>
      <c r="D10" s="21" t="str">
        <f aca="false">IF(B10="","",B10*C10)</f>
        <v/>
      </c>
      <c r="E10" s="37"/>
      <c r="F10" s="37"/>
      <c r="G10" s="37"/>
      <c r="H10" s="22" t="str">
        <f aca="false">IF(OR(B10="",E10=""),"",ROUNDUP(D10/E10,0))</f>
        <v/>
      </c>
      <c r="I10" s="22" t="str">
        <f aca="false">IF(OR(B10="",F10=""),"",ROUNDUP(D10/F10,0))</f>
        <v/>
      </c>
      <c r="J10" s="22" t="str">
        <f aca="false">IF(OR(B10="",G10=""),"",ROUNDUP(D10/G10,0))</f>
        <v/>
      </c>
      <c r="K10" s="22" t="str">
        <f aca="false">IF(B10="","",H10+I10+J10)</f>
        <v/>
      </c>
      <c r="L10" s="21" t="str">
        <f aca="false">IF(B10="","",K10*365/參數!$B$14)</f>
        <v/>
      </c>
      <c r="M10" s="21" t="str">
        <f aca="false">IF(B10="","",B10*1.5)</f>
        <v/>
      </c>
      <c r="N10" s="28"/>
      <c r="O10" s="24" t="str">
        <f aca="false">IF(OR(B10="",N10=""),"",N10-L10)</f>
        <v/>
      </c>
      <c r="P10" s="24" t="str">
        <f aca="false">IF(OR(B10="",N10=""),"",N10-M10)</f>
        <v/>
      </c>
    </row>
    <row r="11" customFormat="false" ht="15" hidden="false" customHeight="false" outlineLevel="0" collapsed="false">
      <c r="A11" s="26"/>
      <c r="B11" s="28"/>
      <c r="C11" s="20" t="str">
        <f aca="false">IF(B11="","",參數!$B$18)</f>
        <v/>
      </c>
      <c r="D11" s="21" t="str">
        <f aca="false">IF(B11="","",B11*C11)</f>
        <v/>
      </c>
      <c r="E11" s="37"/>
      <c r="F11" s="37"/>
      <c r="G11" s="37"/>
      <c r="H11" s="22" t="str">
        <f aca="false">IF(OR(B11="",E11=""),"",ROUNDUP(D11/E11,0))</f>
        <v/>
      </c>
      <c r="I11" s="22" t="str">
        <f aca="false">IF(OR(B11="",F11=""),"",ROUNDUP(D11/F11,0))</f>
        <v/>
      </c>
      <c r="J11" s="22" t="str">
        <f aca="false">IF(OR(B11="",G11=""),"",ROUNDUP(D11/G11,0))</f>
        <v/>
      </c>
      <c r="K11" s="22" t="str">
        <f aca="false">IF(B11="","",H11+I11+J11)</f>
        <v/>
      </c>
      <c r="L11" s="21" t="str">
        <f aca="false">IF(B11="","",K11*365/參數!$B$14)</f>
        <v/>
      </c>
      <c r="M11" s="21" t="str">
        <f aca="false">IF(B11="","",B11*1.5)</f>
        <v/>
      </c>
      <c r="N11" s="28"/>
      <c r="O11" s="24" t="str">
        <f aca="false">IF(OR(B11="",N11=""),"",N11-L11)</f>
        <v/>
      </c>
      <c r="P11" s="24" t="str">
        <f aca="false">IF(OR(B11="",N11=""),"",N11-M11)</f>
        <v/>
      </c>
    </row>
    <row r="12" customFormat="false" ht="15" hidden="false" customHeight="false" outlineLevel="0" collapsed="false">
      <c r="A12" s="26"/>
      <c r="B12" s="28"/>
      <c r="C12" s="20" t="str">
        <f aca="false">IF(B12="","",參數!$B$18)</f>
        <v/>
      </c>
      <c r="D12" s="21" t="str">
        <f aca="false">IF(B12="","",B12*C12)</f>
        <v/>
      </c>
      <c r="E12" s="37"/>
      <c r="F12" s="37"/>
      <c r="G12" s="37"/>
      <c r="H12" s="22" t="str">
        <f aca="false">IF(OR(B12="",E12=""),"",ROUNDUP(D12/E12,0))</f>
        <v/>
      </c>
      <c r="I12" s="22" t="str">
        <f aca="false">IF(OR(B12="",F12=""),"",ROUNDUP(D12/F12,0))</f>
        <v/>
      </c>
      <c r="J12" s="22" t="str">
        <f aca="false">IF(OR(B12="",G12=""),"",ROUNDUP(D12/G12,0))</f>
        <v/>
      </c>
      <c r="K12" s="22" t="str">
        <f aca="false">IF(B12="","",H12+I12+J12)</f>
        <v/>
      </c>
      <c r="L12" s="21" t="str">
        <f aca="false">IF(B12="","",K12*365/參數!$B$14)</f>
        <v/>
      </c>
      <c r="M12" s="21" t="str">
        <f aca="false">IF(B12="","",B12*1.5)</f>
        <v/>
      </c>
      <c r="N12" s="28"/>
      <c r="O12" s="24" t="str">
        <f aca="false">IF(OR(B12="",N12=""),"",N12-L12)</f>
        <v/>
      </c>
      <c r="P12" s="24" t="str">
        <f aca="false">IF(OR(B12="",N12=""),"",N12-M12)</f>
        <v/>
      </c>
    </row>
    <row r="14" customFormat="false" ht="15" hidden="false" customHeight="false" outlineLevel="0" collapsed="false">
      <c r="A14" s="32" t="s">
        <v>100</v>
      </c>
    </row>
    <row r="15" customFormat="false" ht="15" hidden="false" customHeight="false" outlineLevel="0" collapsed="false">
      <c r="A15" s="3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34" t="s">
        <v>102</v>
      </c>
    </row>
    <row r="2" customFormat="false" ht="15" hidden="false" customHeight="false" outlineLevel="0" collapsed="false">
      <c r="A2" s="10" t="s">
        <v>103</v>
      </c>
    </row>
    <row r="3" customFormat="false" ht="15" hidden="false" customHeight="false" outlineLevel="0" collapsed="false">
      <c r="A3" s="10" t="s">
        <v>104</v>
      </c>
    </row>
    <row r="4" customFormat="false" ht="15" hidden="false" customHeight="false" outlineLevel="0" collapsed="false">
      <c r="A4" s="10" t="s">
        <v>105</v>
      </c>
    </row>
    <row r="5" customFormat="false" ht="15" hidden="false" customHeight="false" outlineLevel="0" collapsed="false">
      <c r="A5" s="10" t="s">
        <v>106</v>
      </c>
    </row>
    <row r="6" customFormat="false" ht="29.85" hidden="false" customHeight="false" outlineLevel="0" collapsed="false">
      <c r="A6" s="38" t="s">
        <v>107</v>
      </c>
    </row>
    <row r="7" customFormat="false" ht="15" hidden="false" customHeight="false" outlineLevel="0" collapsed="false">
      <c r="A7" s="38" t="s">
        <v>108</v>
      </c>
    </row>
    <row r="8" customFormat="false" ht="15" hidden="false" customHeight="false" outlineLevel="0" collapsed="false">
      <c r="A8" s="1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2026-10-15T13:14:51Z</dcterms:created>
  <dc:creator>openpyxl</dc:creator>
  <dc:description/>
  <dc:language>en-US</dc:language>
  <cp:lastModifiedBy/>
  <dcterms:modified xsi:type="dcterms:W3CDTF">2026-10-15T13:14:51Z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